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ving Dollars and Sense Black " sheetId="1" r:id="rId4"/>
  </sheets>
  <definedNames/>
  <calcPr/>
</workbook>
</file>

<file path=xl/sharedStrings.xml><?xml version="1.0" encoding="utf-8"?>
<sst xmlns="http://schemas.openxmlformats.org/spreadsheetml/2006/main" count="1942" uniqueCount="1077">
  <si>
    <t>Price</t>
  </si>
  <si>
    <t>Store</t>
  </si>
  <si>
    <t>Notes</t>
  </si>
  <si>
    <t>Electronics</t>
  </si>
  <si>
    <t>DVD PLAYERS</t>
  </si>
  <si>
    <t>BLU-RAY PLAYERS</t>
  </si>
  <si>
    <t>APPLE PRODUCTS</t>
  </si>
  <si>
    <t>Apple AirPods 4</t>
  </si>
  <si>
    <t>Starting at $99.99</t>
  </si>
  <si>
    <t>November 9-15; Target's Holiday Price Match Guarantee: We'll match the price if it goes lower at Target on items purchased between 11/1 and 12/24</t>
  </si>
  <si>
    <t>Apple AirPods 4 with Active Noise Cancellation</t>
  </si>
  <si>
    <t>Costco December Savings; November 17-December 21, 2025; Limit 2</t>
  </si>
  <si>
    <t>Apple AirPods Pro 3</t>
  </si>
  <si>
    <t>Apple iMac All-in-One Desktop Computer 24" Apple M4 Chip, Build for Apple Intelligence, 10-Core CPU, 10-Core GPU, 16GB Memory, 256GB SSD Storage</t>
  </si>
  <si>
    <t>Online Only; Costco December Savings; November 17-December 21, 2025; Limit 2</t>
  </si>
  <si>
    <t>Apple iMac All-in-One Desktop Computer 24" Apple M4 Chip, Built for Apple Intelligence, 10-Core CPU, 10-Core GPU, 16GB Memory, 512GB SSD Storage</t>
  </si>
  <si>
    <t>Apple iMac All-in-One Desktop Computer 24" Apple M4 Chip, Built for Apple Intelligence, 10-Core CPU, 10-Core GPU, 24GB Memory, 512GB SSD Storage</t>
  </si>
  <si>
    <t>Apple iMac All-in-One Desktop Computer 24" Apple M4 Chip, Built for Apple Intelligence, 8-Core CPU, 8-Core GPU, 16GB Memory, 256GB SSD Storage</t>
  </si>
  <si>
    <t>Apple iPad Pro 11", 1TB Wi-Fi (M4 Chip), Built for Apple Intelligence</t>
  </si>
  <si>
    <t>Apple iPad Pro 11", 256GB Wi-Fi M4 Chip, Built for Apple Intelligence</t>
  </si>
  <si>
    <t>Apple iPad Pro 11", 512GB Wi-Fi (M4 Chip), Built for Apple Intelligence</t>
  </si>
  <si>
    <t>Apple iPad Pro 13", 256GB Wi-Fi (M4 Chip), Built for Apple Intelligence</t>
  </si>
  <si>
    <t>Apple Mac Mini Desktop Computer Apple M4 Pro Chip, Built for Apple Intelligence, 10-Core CPU, 10-Core GPU, 16GB Memory, 512GB SSD Storage</t>
  </si>
  <si>
    <t>Apple Mac Mini Desktop Computer Apple M4 Pro Chip, Built for Apple Intelligence, 12-Core CPU, 16-Core GPU, 24GB Memory, 512GB SSD Storage</t>
  </si>
  <si>
    <t>Apple Mac Mini Desktop Computer, Apple M4 Chip, Built for Apple Intelligence, 10-Core CPU, 10-Core GPU, 16GB Memory, 256GB SSD Storage</t>
  </si>
  <si>
    <t>Apple Mac Mini Desktop Computer, Apple M4 Chip, Built for Apple Intelligence, 10-Core CPU, 10-Core GPU, 24GB Memory, 512GB SSD Storage</t>
  </si>
  <si>
    <t>Apple Mac Studio Desktop Computer, Apple M3 Ultra Chip, Built for Apple Intelligence, 28-Core CPU, 60-Core GPU, 96GB Memory, 1TB SSD Storage</t>
  </si>
  <si>
    <t>Apple Mac Studio Desktop Computer, Apple M4 Max Chip, Built for Apple Intelligence, 14-Core CPU, 32-core GPU, 36GB Memory, 512GB SSD Storage</t>
  </si>
  <si>
    <t>Apple MacBook Air Laptop 13" Apple M4 Chip, Built for Apple Intelligence, 10-Core CPU, 10-Core GPU, 16GB Memory, 512GB SSD Storage</t>
  </si>
  <si>
    <t>Apple MacBook Air Laptop 13" Apple M4 Chip, Built for Apple Intelligence, 10-Core CPU, 8-Core GPU, 16GB Memory, 256GB SSD Storage</t>
  </si>
  <si>
    <t>Apple MacBook Air Laptop 13", Apple M4 Chip, Built for Apple Intelligence, 10-Core CPU, 10-Core GPU, 24GB Memory, 512GB SSD Storage</t>
  </si>
  <si>
    <t>Apple MacBook Air Laptop 15" Apple M4 Chip, Built for Apple Intelligence, 10-Core CPU, 10-Core GPU, 24GB Memory, 512GB SSD Storage</t>
  </si>
  <si>
    <t>Apple MacBook Air Laptop 15", Apple M4 Chip, Built for Apple Intelligence, 10-Core CPU, 10-Core GPU, 16GB Memory, 256GB SSD Storage</t>
  </si>
  <si>
    <t>Apple MacBook Air Laptop 15", Apple M4 Chip, Built for Apple Intelligence, 10-Core CPU, 10-Core GPU, 16GB Memory, 512GB SSD Storage</t>
  </si>
  <si>
    <t>Apple MacBook Pro Laptop 14" Apple M4 Chip, Built for Apple Intelligence, 10-Core CPU, 10-Core GPU, 16GB Memory, 1TB SSD Storage</t>
  </si>
  <si>
    <t>Apple MacBook Pro Laptop 14" Apple M4 Chip, Built for Apple Intelligence, 10-Core CPU, 10-Core GPU, 16GB Memory, 512GB SSD Storage</t>
  </si>
  <si>
    <t>Apple MacBook Pro Laptop 14" Apple M4 Max Chip, Built for Apple Intelligence, 14-Core CPU, 32-Core GPU, 36GB Memory, 1TB SSD Storage</t>
  </si>
  <si>
    <t>Apple MacBook Pro Laptop 14" Apple M4 Pro Chip, Built for Apple Intelligence, 12-Core CPU, 16-Core GPU, 24GB Memory, 512GB SSD Storage</t>
  </si>
  <si>
    <t>Apple MacBook Pro Laptop 14" Apple M4 Pro Chip, Built for Apple Intelligence, 14-Core CPU, 20-Core GPU, 24GB Memory, 1TB SSD Storage</t>
  </si>
  <si>
    <t>Apple MacBook Pro Laptop 16" Apple M4 Max Chip, Built for Apple Intelligence, 16-Core CPU, 40-Core GPU, 48GB Memory, 1TB SSD Storage</t>
  </si>
  <si>
    <t>Apple MacBook Pro Laptop 16" Apple M4 Pro Chip, Built for Apple Intelligence, 14-Core CPU, 20-Core GPU, 24GB Memory, 512GB SSD Storage</t>
  </si>
  <si>
    <t>Apple MacBook Pro Laptop 16" Apple M4 Pro Chip, Built for Apple Intelligence, 14-Core CPU, 20-Core GPU, 48GB Memory, 512GB SSD Storage</t>
  </si>
  <si>
    <t>Apple MacBook Pro Laptop 16" Apple M4 Pro Chip, Built for Apple Intelligence, 14-Core CPU, 32-Core GPU, 36GB Memory, 1TB SSD Storage</t>
  </si>
  <si>
    <t>Apple Watch SE (GPS), 40mm Sport Band</t>
  </si>
  <si>
    <t>Apple Watch SE 3</t>
  </si>
  <si>
    <t>Starting at $249.99</t>
  </si>
  <si>
    <t>Apple Watch SE 3 (GPS), 44mm Sport Band</t>
  </si>
  <si>
    <t>Apple Watch Series 11</t>
  </si>
  <si>
    <t>Starting at $399.99</t>
  </si>
  <si>
    <t>Apple Watch Ultra 3 (GPS + Cellular), 49mm Black Titanium Case</t>
  </si>
  <si>
    <t>Apple Watch Ultra 3 (GPS + Cellular), 49mm Milanese Loop</t>
  </si>
  <si>
    <t>Apple Watch Ultra 3 (GPS + Cellular), 49mm Natural Titanium</t>
  </si>
  <si>
    <t>WEARABLE TECHNOLOGY</t>
  </si>
  <si>
    <t>Fitbit Smartwatches, Select Styles</t>
  </si>
  <si>
    <t>40% Off</t>
  </si>
  <si>
    <t>Black Friday Deals; Coupons do not Apply; Shop Select Deals In Store &amp; Online 11/23-11/29; Earn $15 Kohl's Cash for Every $50 Spent</t>
  </si>
  <si>
    <t>Garmin Smartwatches, Select Styles</t>
  </si>
  <si>
    <t>Posh Tech Watch Bands</t>
  </si>
  <si>
    <t>20% Off</t>
  </si>
  <si>
    <t>TABLETS/KINDLES</t>
  </si>
  <si>
    <t>Samsung Galaxy Tab S10 FE 10.9" Wi-Fi Tablet, 128GB, Includes an S Pen and Book Cover Keyboard Slim with AI Key</t>
  </si>
  <si>
    <t>Costco December Savings; November 17-December 1, 2025; Limit 5</t>
  </si>
  <si>
    <t>COMPUTER MONITORS</t>
  </si>
  <si>
    <t>15.6" Acer Ultra-Slim FHD Portable Monitor</t>
  </si>
  <si>
    <t>Costco December Savings; November 17-December 21, 2025; Limit 5 Each</t>
  </si>
  <si>
    <t>27" Acer Predator OLED WQHD 280Hz Gaming Monitor</t>
  </si>
  <si>
    <t>Online Only; Costco December Savings; November 17-December 1, 2025; Limit 5</t>
  </si>
  <si>
    <t>27" ASUS 240Hz Gaming Monitor</t>
  </si>
  <si>
    <t>Costco December Savings; November 17-December 21, 2025; Limit 5</t>
  </si>
  <si>
    <t>27" LG UltraGear OLED QHD Gaming Monitor</t>
  </si>
  <si>
    <t>Online Only; Valid 11/28-12/1; Limit 5</t>
  </si>
  <si>
    <t>27" MSI FHD IPS 100Hz Productivity Monitor</t>
  </si>
  <si>
    <t>27" MSI OLED Gaming Monitor</t>
  </si>
  <si>
    <t>27" MSI WQHD Gaming Monitor</t>
  </si>
  <si>
    <t>Online Only; Cost Shipped; Costco December Savings; November 17-December 21, 2025; Limit 5</t>
  </si>
  <si>
    <t>32" LG UltraGear OLED 4K UHD Gaming Monitor</t>
  </si>
  <si>
    <t>32" Samsung Odyssey G5 QHD Curved Gaming Monitor</t>
  </si>
  <si>
    <t>34" LG Curved UltraWide Monitor</t>
  </si>
  <si>
    <t>49" Samsung Class Odyssey G95C DQHD Curved Gaming Monitor</t>
  </si>
  <si>
    <t>Online Only; Costco December Savings; November 17-December 1, 2025; Limit 3</t>
  </si>
  <si>
    <t>COMPUTER PRINTERS, FAXES, &amp; SCANNERS</t>
  </si>
  <si>
    <t>HP DeskJet 2825e Wireless All-in-One Printer</t>
  </si>
  <si>
    <t>November 9-15; 3 Months Free Instant Ink</t>
  </si>
  <si>
    <t xml:space="preserve"> </t>
  </si>
  <si>
    <t>DESKTOP COMPUTERS</t>
  </si>
  <si>
    <t xml:space="preserve">CyberPowerPC Gamer Xtreme Gaming Desktop, GeForce RTX 5060 GPU, 8GB </t>
  </si>
  <si>
    <t>Costco December Savings; November 17-December 1, 2025; Limit 2</t>
  </si>
  <si>
    <t>HP OmniDesk Tower with AMD Ryzen 7, 32GB RAM, 1TB SSD, Includes Wireless Keyboard &amp; Mouse</t>
  </si>
  <si>
    <t>MSI Aegis Gaming Desktop AMD Ryzen 9, GeForce RTX 5080, 32GB RAM, 2TB SSD</t>
  </si>
  <si>
    <t>Valid 11/28-12/1; Limit 2</t>
  </si>
  <si>
    <t xml:space="preserve">MSI Aegis R2 AI Gaming Desktop, Intel Core Ultra 9, GeForce RTX 5070 Ti GPU, 16GB, 32GB RAM, 2TB SSD, </t>
  </si>
  <si>
    <t>Online Only; Price Does Not Include Shipping; Costco December Savings; November 17-December 21, 2025; Limit 2</t>
  </si>
  <si>
    <t xml:space="preserve">MSI Codex Gaming Desktop, GeForce RTX 5060 GPU, 8GB </t>
  </si>
  <si>
    <t>MSI Codex R2 Gaming Desktop with Intel Core Ultra 7 265, NVIDIA RTX 5060 Ti 8GB, Windows 11 Home, 32GB RAM, 2TB SSD</t>
  </si>
  <si>
    <t>ALL-IN-ONE DESKTOP COMPUTERS</t>
  </si>
  <si>
    <t>LAPTOPS</t>
  </si>
  <si>
    <t>Acer Aspire 14" Touchscreen AI Copilot+ PC, Intel Core Ultra 9, 32GB RAM, 1TB SSD, Windows 11 Copilot+PC</t>
  </si>
  <si>
    <t>Acer Aspire 14" Touchscreen Copilot+ PC, Intel Core Ultra 5, 16GB RAM, 1TB SSD</t>
  </si>
  <si>
    <t>Acer Aspire 3 15.6" Touchscreen Laptop, AMD Ryzen 5, 16GB RAM, 1TB SSD, 15.6" Touchscreen</t>
  </si>
  <si>
    <t>ASUS Vivobook 15.6" Touchscreen Laptop, Intel Core 7, 16GB RAM, 1TB SSD</t>
  </si>
  <si>
    <t>Online Only; Valid 11/27/25</t>
  </si>
  <si>
    <t>Dell 16" Touchscreen Laptop, Intel Core 7, 16GB RAM, 1TB SSD, 16" Touchscreen</t>
  </si>
  <si>
    <t>Online Only; Shiping Not Included; Costco December Savings; November 17-December 21, 2025; Limit 2</t>
  </si>
  <si>
    <t>Dell Plus 16" Touchscreen Copilot+ PC Intel Core Ultra 9, 32GB RAM, 1TB SSD, Windows 11 Copilot+PC</t>
  </si>
  <si>
    <t>HP 17.3" HD+ Touchscreen Laptop Intel Core Ultra 7, 16GB RAM, 1TB SSD</t>
  </si>
  <si>
    <t>Online Only; Valid 11/28-12/1; Limit 2</t>
  </si>
  <si>
    <t>HP 17.3" HD+ Touchscreen Laptop, AMD Ryzen 5, 16GB RAM, 1TB SSD</t>
  </si>
  <si>
    <t>HP 17.3" HD+ Touchscreen Laptop, Intel Core 5, 16GB RAM, 1TB SSD</t>
  </si>
  <si>
    <t>HP Omen 16" Slim Gaming Laptop, Intel Core Ultra 9, GeForce RTX 5070 GPU, 8GB, 32GB RAM, 1TB SSD</t>
  </si>
  <si>
    <t>HP OmniBook 5 16" 2K Touchscreen Laptop</t>
  </si>
  <si>
    <t>Online Only; Shiping Not Included; Costco December Savings; November 17-December 21, 2025; Limit 5 Each</t>
  </si>
  <si>
    <t>HP OmniBook 5 16" Touchscreen Copilot+ PC, 16GB RAM, 1TB SSD</t>
  </si>
  <si>
    <t>HP OmniBook 5 16" Touchscreen Laptop Intel Core Ultra 5, 16GB RAM, 1TB SSD</t>
  </si>
  <si>
    <t>Lenovo IdeaPad Pro 5i 16" OLED Touchscreen Laptop Intel Core Ultra 9, GeForce RTX 5050 GPU 8GB, 32GB RAM, 1TB SSD</t>
  </si>
  <si>
    <t>Lenovo Legion 5i 16" Gaming Laptop Intel Core Ultra 9, 32GB RAM, 1TB SSD, GeForce RTX 5060</t>
  </si>
  <si>
    <t>Microsoft Surface 13.8" Touchscreen Copilot+ PC 16GB RAM, 1TB SSD</t>
  </si>
  <si>
    <t>$200 Off</t>
  </si>
  <si>
    <t>2-IN-1 LAPTOP/TABLET</t>
  </si>
  <si>
    <t>ASUS Vivobook Flip 14" OLED Touchscren Copilot+ PC, Intel Core Ultra 7, 16GB RAM, 1TB SSD, Windows 11 Copilot+PC</t>
  </si>
  <si>
    <t>HP OmniBook 7 Flip 16" OLED Touchscreen Copilot+ PC, Intel Core Ultra 7, 32GB RAM, 1TB SSD, Windows 11 Copilot+PC, Intel evo Edition</t>
  </si>
  <si>
    <t>Lenovo IdeaPad 5 14" Touchscreen Copilot+ PC with AMD Ryzen 7, 16GB RAM, 1TB SSD, Includes Digital Pen 2</t>
  </si>
  <si>
    <t>Lenovo IdeaPad 5i 16" Touchscreen 2-in-1 Laptop Intel Core Ultra 7, 32GB RAM, 1TB SSD, Includes Digital Pen</t>
  </si>
  <si>
    <t>COMPUTER SOFTWARE</t>
  </si>
  <si>
    <t>COMPUTER/TABLET/MOBILE PHONE ACCESSORIES</t>
  </si>
  <si>
    <t>Tracfone 5G-LTE Home Internet Router</t>
  </si>
  <si>
    <t>Save $40 with Purchase of $60 Unlimited Data Home Internet Plan; November 9-15</t>
  </si>
  <si>
    <t>DIGITAL CAMERAS, LENSES, &amp; CAMCORDERS</t>
  </si>
  <si>
    <t>Canon EOS R50 4K Video Mirrorless Camera with RF-S 18-45mm Content Creator Kit</t>
  </si>
  <si>
    <t>Canon EOS Rebel T7 DSLR Two lens Kit with Backpack Bundle</t>
  </si>
  <si>
    <t>Valid 11/28-12/1; Limit 5</t>
  </si>
  <si>
    <t>Minolta MND23 48 Megapixels Point and Shoot Selfie Digital Camera</t>
  </si>
  <si>
    <t>ACTION CAMERAS</t>
  </si>
  <si>
    <t>GoPro HERO13 Black Action Camera Bundle Includes 128GB microSD Card, Case, and 2 Total Enduro Batteries</t>
  </si>
  <si>
    <t>INSTANT CAMERAS</t>
  </si>
  <si>
    <t>DRONES</t>
  </si>
  <si>
    <t>TELEVISIONS</t>
  </si>
  <si>
    <t>43" Hisense QD6 Series 4K QLED Smart TV, Allstate 3yr Protection Plan Bundle Included</t>
  </si>
  <si>
    <t>43" Samsung Class The Frame Series QLED 4K Art Mode Vision AI Smart TV, Allstate 3yr Protection Plan Bundle Included</t>
  </si>
  <si>
    <t>43" Samsung Class U8000F Crystal UHD Series 4K Smart TV</t>
  </si>
  <si>
    <t>48" LG Class OLED evo AI C5 Series 4K Smart TV, Allstate 3yr Protection Plan Bundle</t>
  </si>
  <si>
    <t>50" Hisense QD6 Series 4K QLED Smart TV, Allstate 3yr Protection Plan Bundle Included</t>
  </si>
  <si>
    <t>50" LG Class UA7700 Series 4K UHD Smart TV</t>
  </si>
  <si>
    <t>50" Samsung Class The Frame Series QLED 4K Art Mode Vision AI Smart TV, Allstate 3yr Protection Plan Bundle Included</t>
  </si>
  <si>
    <t>50" Samsung Class U8000F Crystal UHD Series 4K Smart TV</t>
  </si>
  <si>
    <t>55" LG Class UA7700 Series 4K UHD Smart TV</t>
  </si>
  <si>
    <t>55" Samsung Class Q7F LED Series 4K Vision AI Smart TV, Allstate 3yr Protection Plan Bundle Included</t>
  </si>
  <si>
    <t>55" Samsung Class The Frame Series QLED 4K Art Mode Vision AI Smart TV, Allstate 3yr Protection Plan Bundle Included</t>
  </si>
  <si>
    <t>55" Sony Class BRAVIA 2 II Series 4K UHD Smart TV</t>
  </si>
  <si>
    <t>Online Only; Costco December Savings; November 17-December 1, 2025; Limit 10</t>
  </si>
  <si>
    <t>55" TCL Class Q77K Series 4K UHD QLED Smart TV, Allstate 3yr Protection Plan Bundle</t>
  </si>
  <si>
    <t>55"" Samsung Class U8000F Crystal UHD Series 4K Smart TV</t>
  </si>
  <si>
    <t>65" Hisense Class U6 Series 4K Mini-LED Smart TV, Allstate 3yr Protection Plan Bundle Included</t>
  </si>
  <si>
    <t>65" LG Class OLED AI B5 Series 4K Smart TV</t>
  </si>
  <si>
    <t>Costco December Savings; November 17-December 21, 2025; Limit 10</t>
  </si>
  <si>
    <t>65" LG Class OLED evo AI G5 Series 4K Smart TV, All State 3yr Protection Plan Bundle Included</t>
  </si>
  <si>
    <t>Online Only; Costco December Savings; November 17-December 21, 2025; Limit 5</t>
  </si>
  <si>
    <t>65" LG Class UA7700 Series 4K UHD Smart TV</t>
  </si>
  <si>
    <t>65" RCL Class QM6K Pro Series 4K UHD QD-Mini LED Smart TV, Allstate 3yr Protection Plan Bundle</t>
  </si>
  <si>
    <t>65" Samsung Class Q7F LED Series 4K Vision AI Smart TV, Allstate 3yr Protection Plan Bundle Included</t>
  </si>
  <si>
    <t>65" Samsung Class QN70F Neo QLED Series 4K Mini LED Vision AI Smart TV, Allstate 3yr Protection Bundle Included</t>
  </si>
  <si>
    <t>65" Samsung Class S85F OLED Series 4K Vision AI Smart TV 3yr Protection Plan Bundle Included</t>
  </si>
  <si>
    <t>65" Samsung Class S90F OLED Series 4K Vision AI Smart TV, Allstate 3yr Protection Plan Bundle Included</t>
  </si>
  <si>
    <t>65" Samsung Class The Frame Pro Series Neo QLED 4K Mini LED Art Mode Vision AI Smart TV, Allstate 3yr Protection Bundle Included</t>
  </si>
  <si>
    <t>65" Samsung Class The Frame Series QLED 4K Art Mode Vision AI Smart TV, Allstate 3yr Protection Plan Bundle Included</t>
  </si>
  <si>
    <t>65" Samsung Class U8000F Crystal UHD Series 4K Smart TV</t>
  </si>
  <si>
    <t>65" Sony Class BRAVIA 2 II Series 4K UHD Smart TV</t>
  </si>
  <si>
    <t>65" Sony Class BRAVIA 5 Series 4K UHD Mini LED Smart TV, Allstate 3yr Protection Plan Bundle Included</t>
  </si>
  <si>
    <t>65" Sony Class BRAVIA 8 OLED Series 4K Smart TV</t>
  </si>
  <si>
    <t>65" TCL Class NXTVISION Series 4K QLED Smart TV</t>
  </si>
  <si>
    <t>65" TCL Class Q77K Series 4K UHD QLED Smart TV, Allstate 3yr Protection Plan Bundle</t>
  </si>
  <si>
    <t>75" Hisense Class U6 Series 4K Mini-LED Smart TV, Allstate 3yr Protection Plan Bundle Included</t>
  </si>
  <si>
    <t>75" LG Class UA7100 Series 4K UHD Smart TV, Allstate 3yr Protection Plan Bundle</t>
  </si>
  <si>
    <t>Valid 11/28-12/1; Limit 10</t>
  </si>
  <si>
    <t>75" LG Class UA7700 Series 4K UHD Smart TV</t>
  </si>
  <si>
    <t>75" RCL Class QM6K Pro Series 4K UHD QD-Mini LED Smart TV, Allstate 3yr Protection Plan Bundle</t>
  </si>
  <si>
    <t>75" Samsung Class Q7F LED Series 4K Vision AI Smart TV, Allstate 3yr Protection Plan Bundle Included</t>
  </si>
  <si>
    <t>75" Samsung Class QN70F Neo QLED Series 4K Mini LED Vision AI Smart TV, Allstate 3yr Protection Bundle Included</t>
  </si>
  <si>
    <t>75" Samsung Class The Frame Pro Series Neo QLED 4K Mini LED Art Mode Vision AI Smart TV, Allstate 3yr Protection Bundle Included</t>
  </si>
  <si>
    <t>75" Samsung Class U8000F Crystal UHD Series 4K Smart TV</t>
  </si>
  <si>
    <t>75" Sony Class BRAVIA 2 II Series 4K UHD Smart TV</t>
  </si>
  <si>
    <t>75" TCL Class Q77K Series 4K UHD QLED Smart TV, Allstate 3yr Protection Plan Bundle</t>
  </si>
  <si>
    <t>77" LG Class OLED evo AI G5 Series 4K Smart TV, All State 3yr Protection Plan Bundle Included</t>
  </si>
  <si>
    <t>77" Samsung Class S85F OLED Series 4K Vision AI Smart TV 3yr Protection Plan Bundle Included</t>
  </si>
  <si>
    <t>77" Samsung Class S90F OLED Series 4K Vision AI Smart TV, Allstate 3yr Protection Plan Bundle Included</t>
  </si>
  <si>
    <t>77" Sony Class BRAVIA 8 OLED Series 4K Smart TV</t>
  </si>
  <si>
    <t>83" LG Class OLED evo AI G5 Series 4K Smart TV, All State 3yr Protection Plan Bundle Included</t>
  </si>
  <si>
    <t>83" Samsung Class S85F OLED Series 4K Vision AI Smart TV 3yr Protection Plan Bundle Included</t>
  </si>
  <si>
    <t>Online Only; Costco December Savings; Price Valid Through 11/16</t>
  </si>
  <si>
    <t>85" Samsung Class DU8000 Series 4K Crystal UHD LED Smart TV</t>
  </si>
  <si>
    <t>85" Samsung Class Q7F QLED Series 4K Vision AI Smart TV</t>
  </si>
  <si>
    <t>85" Samsung Class QN70F Neo QLED Series 4K Mini LED Vision AI Smart TV, Allstate 3yr Protection Bundle Included</t>
  </si>
  <si>
    <t>85" Samsung Class QN90F Neo QLED Series 4K Mini LED Vision AI Smart TV</t>
  </si>
  <si>
    <t>85" Samsung Class The Frame Pro Series Neo QLED 4K Mini LED Art Mode Vision AI Smart TV, Allstate 3yr Protection Bundle Included</t>
  </si>
  <si>
    <t>85" Sony Class BRAVIA 5 Series 4K UHD Mini LED Smart TV</t>
  </si>
  <si>
    <t>85" TCL Class Q77K Series 4K UHD QLED Smart TV</t>
  </si>
  <si>
    <t>86" LG Class UA9000 Series 4K UHD Smart TV</t>
  </si>
  <si>
    <t>98" Samsung Class DU9000D Series 4K UHD Smart TV</t>
  </si>
  <si>
    <t>Online Only; Costco December Savings; November 17-December 21, 2025; Limit 10</t>
  </si>
  <si>
    <t>98" TCL Class QM6K Pro Series 4K UHD QD-Mini LED Smart TV</t>
  </si>
  <si>
    <t>98" TCL QLED 4K Goggle TV</t>
  </si>
  <si>
    <t>Event 1 - Deals Start Online 11/14, Walmart+ Early Access Starts 11/13 at 7:00PM ET</t>
  </si>
  <si>
    <t>100" Hisense Class U6 Series 4K Mini-LED Smart TV</t>
  </si>
  <si>
    <t>MOBILE PHONES</t>
  </si>
  <si>
    <t>MISC. ELECTRONICS</t>
  </si>
  <si>
    <t>Air Purifiers, Select</t>
  </si>
  <si>
    <t>30% Off</t>
  </si>
  <si>
    <t>Anker SOLIX C1000X Gen2 Solar Generator with 200W Solar Panel</t>
  </si>
  <si>
    <t>Anker SOLIX C300X DC Portable Power Station</t>
  </si>
  <si>
    <t>Anker SOLIX F3000 Whole Home Backup, Available With or Without Transfer Switch</t>
  </si>
  <si>
    <t>$1000 Off</t>
  </si>
  <si>
    <t>Online Only; Costco December Savings; November 17-December 21, 2025; Limit 2 Each</t>
  </si>
  <si>
    <t>Arlo Pro Security Camera 2K, 4pk</t>
  </si>
  <si>
    <t>Arlo Ultra Security Camera 4K with Smart Hub, 3pk</t>
  </si>
  <si>
    <t>Beats by Dre, Select Styles</t>
  </si>
  <si>
    <t>50% Off</t>
  </si>
  <si>
    <t>Online Only; Black Friday Deals; Coupons do not Apply; Shop Select Deals In Store &amp; Online 11/23-11/29; Earn $15 Kohl's Cash for Every $50 Spent</t>
  </si>
  <si>
    <t>Beats Flex All-Day Bluetooth Wireless Earphones</t>
  </si>
  <si>
    <t>Beats Pill Wireless Bluetooth Speaker</t>
  </si>
  <si>
    <t>Beats Solo 4 Bluetooth Wireless On-Ear Headphones</t>
  </si>
  <si>
    <t>Beats Studio Pro Bluetooth Wireless Headphones</t>
  </si>
  <si>
    <t>Blink Whole Home Security Camera Bundle</t>
  </si>
  <si>
    <t>Costco December Savings; November 17-December 1, 2025; Limit 4</t>
  </si>
  <si>
    <t>Bose QuietComfort Wireless Bluetooth Headphones</t>
  </si>
  <si>
    <t>Black Friday Doorbusters November 19-January 3</t>
  </si>
  <si>
    <t>Bose Solo Soundbar 2</t>
  </si>
  <si>
    <t>Celestron Telescope, Select Styles</t>
  </si>
  <si>
    <t>Doorbuster; Shop Online Thursday 11/27 @ 12:01AM (CT) &amp; In Store Friday 11/28 @ 5:00AM (Local Time); Coupons do not apply; Earn $15 Kohl's Cash for Every $50 Spent</t>
  </si>
  <si>
    <t>Commercial Electric Indoor/Outdoor Wireless Receiver, 4pk</t>
  </si>
  <si>
    <t>Exclusive; 11/6-11/26; Includes Four Receivers and Two Remotes</t>
  </si>
  <si>
    <t>Cricut Explore 3 Bundle</t>
  </si>
  <si>
    <t>Dreo 0.8 Gallon Ultrasonic Humidifier, 2pk</t>
  </si>
  <si>
    <t>Dreo 1500W Portable Space Heater</t>
  </si>
  <si>
    <t>Duracell Batteries, 9V, 4pk</t>
  </si>
  <si>
    <t>Save $2 Instantly</t>
  </si>
  <si>
    <t>Ace Rewards Exclusive; November 1-December 1; Limit 5</t>
  </si>
  <si>
    <t>Duracell Batteries, AA, 16pk</t>
  </si>
  <si>
    <t>Duracell Batteries, AAA, 16pk</t>
  </si>
  <si>
    <t>Duracell Batteries, C, 8pk</t>
  </si>
  <si>
    <t>Duracell Batteries, D, 8pk</t>
  </si>
  <si>
    <t>Dyson Cool Air Purifier</t>
  </si>
  <si>
    <t>Dyson Hot and Cool Air Purifier</t>
  </si>
  <si>
    <t>Enbrighten 100' Permanent Outdoor Wi-Fi Eternity Eave Lights, White or Black</t>
  </si>
  <si>
    <t>Energizer Max AA Batteries, 36pk</t>
  </si>
  <si>
    <t>Special Buy; 11//6-11/26</t>
  </si>
  <si>
    <t>Energizer Max AAA Batteries, 30pk</t>
  </si>
  <si>
    <t>eufy SoloCam S3 Pan Tilt Solar Security Camera</t>
  </si>
  <si>
    <t>$50 Off</t>
  </si>
  <si>
    <t>Handy Heater 50"x60" Grey Heated Throw Blanket</t>
  </si>
  <si>
    <t>Special Buy; 11/6-11/26</t>
  </si>
  <si>
    <t>Handy Heater Rechargeable Heated Seat Cushion</t>
  </si>
  <si>
    <t>HDX 12' Indoor/Outdoor Triple Tap Green Extension Cord</t>
  </si>
  <si>
    <t>Exclusive; 11/6-11/26</t>
  </si>
  <si>
    <t>HDX 75' Indoor/Outdoor Triple Tap Green Extension Cord</t>
  </si>
  <si>
    <t>Heaters, Select</t>
  </si>
  <si>
    <t>Humidifiers, Select</t>
  </si>
  <si>
    <t>Jackery Explorer 3000 Solar Generator with 500W Solar Panel</t>
  </si>
  <si>
    <t>Online Only; Cost Delivered; Costco December Savings; November 17-December 21, 2025; Limit 2</t>
  </si>
  <si>
    <t>JBL Charge 5 Wi-Fi SE Portable Waterproof Speaker with Auracast</t>
  </si>
  <si>
    <t>JBL Live 675NC Wireless On-Ear Noise-Canceling Headphones</t>
  </si>
  <si>
    <t>JBL PartyBox 120 Portable Speaker with Wireless Microphone</t>
  </si>
  <si>
    <t>Kirkland Signature AA Batteries, 48ct</t>
  </si>
  <si>
    <t>$2 Off</t>
  </si>
  <si>
    <t>Kirkland Signature AAA Batteries, 48ct</t>
  </si>
  <si>
    <t>Lasko Ceramic Tower Heater</t>
  </si>
  <si>
    <t>LG S80TY 3.1.3ch Soundbar with Subwoofer</t>
  </si>
  <si>
    <t>Perfect Aire Oscillating Ceramic Tower Heater with Remote, 23"</t>
  </si>
  <si>
    <t>November 1-December 1</t>
  </si>
  <si>
    <t>QuietComfort SC Noise-Cancelling Headphones</t>
  </si>
  <si>
    <t>Costco December Savings; November 17-December 21, 2025</t>
  </si>
  <si>
    <t>Rayovac Batteries, 9V, 8pk</t>
  </si>
  <si>
    <t>Rayovac Batteries, AA, 30pk</t>
  </si>
  <si>
    <t>Rayovac Batteries, AAA, 30pk</t>
  </si>
  <si>
    <t>Rayovac Batteries, C, 12pk</t>
  </si>
  <si>
    <t>Rayovac Batteries, D, 12pk</t>
  </si>
  <si>
    <t>Reolink 4K+ 12MP Ultra HD 16-Channel Camera System with 8 Cameras</t>
  </si>
  <si>
    <t>Ring Alarm Home Security Kit, 8pc</t>
  </si>
  <si>
    <t>$80 Off</t>
  </si>
  <si>
    <t>Ring Battery Doorbell Pro Security System</t>
  </si>
  <si>
    <t>Ring Outdoor Camera Kit</t>
  </si>
  <si>
    <t>$70 Off</t>
  </si>
  <si>
    <t>Ring Starter Kit, 2pc</t>
  </si>
  <si>
    <t>Special Buy; Includes Ring Battery Doorbell and Indoor Camera; 11/6-11/26</t>
  </si>
  <si>
    <t>Ring Whole Home Camera Kit</t>
  </si>
  <si>
    <t>Samsung HW-B73CD/ZA 5.1ch Soundbar with DTS Virtual:X and Wireless Subwoofer</t>
  </si>
  <si>
    <t>Samsung Q-Series HW-Q60CF 3.1.2ch Soundbar with Subwoofer</t>
  </si>
  <si>
    <t>Shark Max Air Purifier</t>
  </si>
  <si>
    <t>Shark TurboBlade Fan + Heater</t>
  </si>
  <si>
    <t>Shokz OpenRun Pro, Various Colors</t>
  </si>
  <si>
    <t>Black Friday Doorbusters November 20 - December 1; Limit 6</t>
  </si>
  <si>
    <t>SHOKZ OpenRun SE Open-Ear Bluetooth Wireless Bone Conduction Sport Headphones</t>
  </si>
  <si>
    <t>SimpliSafe Security System with Outdoor Camera Series 2, 10pc</t>
  </si>
  <si>
    <t>Sonos Arc Ultra Premium Smart Soundbar</t>
  </si>
  <si>
    <t>Black Friday Doorbusters November 20 - December 1</t>
  </si>
  <si>
    <t>Sonos Arc ultra Soundbar Bundle</t>
  </si>
  <si>
    <t>$220 Off</t>
  </si>
  <si>
    <t>Sonos Era 100 Wireless Smart Speaker, 2pk</t>
  </si>
  <si>
    <t>Sony WH1000XM5/SA Black Wireless Noise-Cancelling Over-the-Ear Headphones</t>
  </si>
  <si>
    <t>Soundcore Boom V2 Outdoor Bluetooth Speaker</t>
  </si>
  <si>
    <t>Costco December Savings; November 17-December 1, 2025; Limit 10</t>
  </si>
  <si>
    <t>Tile Mate Bluetooth Trackers, Variety Pack, 4pk</t>
  </si>
  <si>
    <t>TP-Link Deco BE11000 Wi-Fi 7 Tri-Band Whole-Home Mesh Wi-Fi System, 3pk</t>
  </si>
  <si>
    <t>Wyze 2K Seecurity Bundle</t>
  </si>
  <si>
    <t>Online Only; Costco December Savings; November 17-December 1, 2025; Limit 2</t>
  </si>
  <si>
    <t>MOVIES, MUSIC, &amp; BOOKS</t>
  </si>
  <si>
    <t>Books</t>
  </si>
  <si>
    <t>Buy 2 Get 1 Free</t>
  </si>
  <si>
    <r>
      <rPr>
        <rFont val="Arial"/>
        <i/>
        <color theme="1"/>
      </rPr>
      <t>Dog Man: Big Jim Believes</t>
    </r>
    <r>
      <rPr>
        <rFont val="Arial"/>
        <i val="0"/>
        <color theme="1"/>
        <sz val="11.0"/>
      </rPr>
      <t xml:space="preserve"> by Dav Pilkey, Hardcover</t>
    </r>
  </si>
  <si>
    <t>Exclusive Edition; November 9-15</t>
  </si>
  <si>
    <r>
      <rPr>
        <rFont val="Arial"/>
        <i/>
        <color theme="1"/>
      </rPr>
      <t>Leather &amp; Lark</t>
    </r>
    <r>
      <rPr>
        <rFont val="Arial"/>
        <i val="0"/>
        <color theme="1"/>
        <sz val="11.0"/>
      </rPr>
      <t xml:space="preserve"> by Brynne Weaver, Hardcover</t>
    </r>
  </si>
  <si>
    <r>
      <rPr>
        <rFont val="Arial"/>
        <i/>
        <color theme="1"/>
        <sz val="11.0"/>
      </rPr>
      <t>Nash Falls</t>
    </r>
    <r>
      <rPr>
        <rFont val="Arial"/>
        <color theme="1"/>
      </rPr>
      <t xml:space="preserve"> by David Baldacci, Hardcover</t>
    </r>
  </si>
  <si>
    <r>
      <rPr>
        <rFont val="Arial"/>
        <i/>
        <color theme="1"/>
        <sz val="11.0"/>
      </rPr>
      <t xml:space="preserve">Star of the Show </t>
    </r>
    <r>
      <rPr>
        <rFont val="Arial"/>
        <color theme="1"/>
      </rPr>
      <t>by Dollar Parton, Hardcover</t>
    </r>
  </si>
  <si>
    <r>
      <rPr>
        <rFont val="Arial"/>
        <i/>
        <color theme="1"/>
      </rPr>
      <t>The Last Wish of Bristol Keats</t>
    </r>
    <r>
      <rPr>
        <rFont val="Arial"/>
        <i val="0"/>
        <color theme="1"/>
        <sz val="11.0"/>
      </rPr>
      <t xml:space="preserve"> by Mary E. Pearson, Hardcover</t>
    </r>
  </si>
  <si>
    <t>Collector's Edition; November 9-15</t>
  </si>
  <si>
    <r>
      <rPr>
        <rFont val="Arial"/>
        <i/>
        <color theme="1"/>
        <sz val="11.0"/>
      </rPr>
      <t xml:space="preserve">The Mighty Red </t>
    </r>
    <r>
      <rPr>
        <rFont val="Arial"/>
        <i val="0"/>
        <color theme="1"/>
        <sz val="11.0"/>
      </rPr>
      <t>by Louise Erdrich, Paperback</t>
    </r>
  </si>
  <si>
    <t>Target Book Club Edition Paperback; November 9-15</t>
  </si>
  <si>
    <t>Tiny Vinyl</t>
  </si>
  <si>
    <r>
      <rPr>
        <rFont val="Arial"/>
        <i/>
        <color theme="1"/>
        <sz val="11.0"/>
      </rPr>
      <t>Wild Dark Shore</t>
    </r>
    <r>
      <rPr>
        <rFont val="Arial"/>
        <color theme="1"/>
      </rPr>
      <t xml:space="preserve"> A novel by Charlotte McConaghy, Hardcover</t>
    </r>
  </si>
  <si>
    <t>Exclusive Reese's Book Club Edition Hardcover; November 9-15</t>
  </si>
  <si>
    <t>Video Games</t>
  </si>
  <si>
    <t>PLAYSTATION</t>
  </si>
  <si>
    <t>Call of Duty Black Ops 7 for PS5</t>
  </si>
  <si>
    <t>Available Friday 11/14/25</t>
  </si>
  <si>
    <t>Sony Playstation 5 Slim Disc Console Bundle</t>
  </si>
  <si>
    <t>XBOX</t>
  </si>
  <si>
    <t xml:space="preserve">Call of Duty Black Ops 7 for Xbox </t>
  </si>
  <si>
    <t>NINTENDO</t>
  </si>
  <si>
    <t>DragonBall Sparking! Zero for Nintendo Switch</t>
  </si>
  <si>
    <t>Hello Kitty and Friends Freeze Tag Party for Nintendo Switch</t>
  </si>
  <si>
    <t>Available Friday 11/7; Target's Holiday Price Match Guarantee: We'll match the price if it goes lower at Target on items purchased between 11/1 and 12/24</t>
  </si>
  <si>
    <t>Hello Kitty Island Adventure for Nintendo Switch</t>
  </si>
  <si>
    <t>VIDEO GAMES/ACCESSORIES</t>
  </si>
  <si>
    <t>HyperX Cloud III Wireless Gaming Headset</t>
  </si>
  <si>
    <t>VIRTUAL REALITY</t>
  </si>
  <si>
    <t>Meta Quest 3S Virtual Reality Headset Bundle, 128GB</t>
  </si>
  <si>
    <t>Woojer High-Fidelity Haptic Vest 4</t>
  </si>
  <si>
    <t>Gift Card Deals</t>
  </si>
  <si>
    <t>Fogo de Chao eGift Cards, Two $50 eGift Cards, a $100 Value</t>
  </si>
  <si>
    <t>Online Only; Valid 11/27/25; eDelivery</t>
  </si>
  <si>
    <t>Landry's eGift Cards, Two $50 eGift Cards, a $100 Value</t>
  </si>
  <si>
    <t>Morton's eGift Cards, Two $50 eGift Cards, a $100 Value</t>
  </si>
  <si>
    <t>Hardware/Tools</t>
  </si>
  <si>
    <t>Ariens 24" Two-Stage Gas Snow Thrower</t>
  </si>
  <si>
    <t>Ariens Deluxe 30" Self-Propelled Two-Stage Gas Snow Thrower</t>
  </si>
  <si>
    <t>Commercial Electric Smart Paddle Dimmer Switch</t>
  </si>
  <si>
    <t>Exclusive; Special Buy; 11/6-11/26</t>
  </si>
  <si>
    <t>Commercial Electric Smart Switch with Bluetooth, 2pk</t>
  </si>
  <si>
    <t>CRAFTMAN Drill/Driver</t>
  </si>
  <si>
    <t>Save $30 Instantly</t>
  </si>
  <si>
    <t>Ace Rewards Exclusive; November 1-December 1</t>
  </si>
  <si>
    <t>CRAFTSMAN 3/8" Drive SAE Socket Wrench Set, 10pc</t>
  </si>
  <si>
    <t>CRAFTSMAN 9 Gal 4.25HP Wet/Dry Vac</t>
  </si>
  <si>
    <t>Save $20 Ace Rewards Exclusive; November 1-December 1</t>
  </si>
  <si>
    <t>CRAFTSMAN Drill/Driver &amp; Impact Driver</t>
  </si>
  <si>
    <t>CRAFTSMAN Fiberglass Handle Hammer, 20oz</t>
  </si>
  <si>
    <t>CRAFTSMAN Heavy Duty Stapler</t>
  </si>
  <si>
    <t>CRAFTSMAN Impact Driver</t>
  </si>
  <si>
    <t>CRAFTSMAN Mechanics Tool Set, 105pc</t>
  </si>
  <si>
    <t>CRAFTSMAN OVERDRIVE Mechanics Tool Set, 64pc</t>
  </si>
  <si>
    <t>CRAFTSMAN Ratcheting Box Wrench Set, 20pc</t>
  </si>
  <si>
    <t>CRAFTSMAN Ratcheting Screwdriver Set, 15pc</t>
  </si>
  <si>
    <t>CRAFTSMAN V20 2Ah Battery, 2pk</t>
  </si>
  <si>
    <t>CRAFTSMAN V20 Battery &amp; Charger</t>
  </si>
  <si>
    <t>Get 1 Select CRAFTSMAN V20 Power Tool FREE; Ace Rewards Exclusive; November 1-December 1</t>
  </si>
  <si>
    <t>CRAFTSMAN V20 Brushless Drill/Driver &amp; Impact Driver Combo Kit</t>
  </si>
  <si>
    <t>Get 2 Select CRAFTSMAN V20 Power Tools FREE; Ace Rewards Exclusive; November 1-December 1</t>
  </si>
  <si>
    <t>CRAFTSMAN V20 Brushless Outdoor Power Equipment Kits, Select</t>
  </si>
  <si>
    <t>$20 Off</t>
  </si>
  <si>
    <t>CRAFTSMAN VERSASTACK Mechanics Tool Set, 262pc</t>
  </si>
  <si>
    <t>CUSTOM VersaBond-LFT 50lb Fortified Medium Bed Mortar</t>
  </si>
  <si>
    <t>DeWalt 100' Chalk Reel Kit, Includes 4oz Bottle of Red Chalk</t>
  </si>
  <si>
    <t>11/6-11/26</t>
  </si>
  <si>
    <t>DeWalt 20V Max 2.0Ah/5.0Ah battery Kit</t>
  </si>
  <si>
    <t>Exclusive; Includes two batteries and charger; Get 1 Free Select Power Tool: DeWalt 20V Max 13" String Trimmer (Tool Only), 20V Max XR Brushless Blower (Tool Only), 20V Max Brushless 6-1/2" Circular Saw (Tool Only), 20V Max XR Brushless Jig Saw (Tool Only); 10/27/25-2/1/2026</t>
  </si>
  <si>
    <t>DEWALT 20V MAX 3Ah Battery, 2pk</t>
  </si>
  <si>
    <t>Save $30 Ace Rewards Exclusive; November 1-December 1</t>
  </si>
  <si>
    <t>DEWALT 20V MAX ATOMIC Brushless Drill/Driver</t>
  </si>
  <si>
    <t>Save $50 Instantly</t>
  </si>
  <si>
    <t>Save $50 Ace Rewards Exclusive; November 1-December 1</t>
  </si>
  <si>
    <t>DEWALT 20V MAX ATOMIC Brushless Hammer Drill &amp; Impact Driver Kit</t>
  </si>
  <si>
    <t>Buy One, Get One FREE</t>
  </si>
  <si>
    <t>FREE DEWALT 20V MAX ATOMIC Impact Wrench, Brushless Handheld Blower, or Fan (Tools Only) with Purchase of DEWALT 20V MAX ATOMIC Brushess Hammer Drill &amp; Impact Driver Kit; November 1-December 1</t>
  </si>
  <si>
    <t>DEWALT 20V MAX ATOMIC Brushless Power Tools (Tools Only)</t>
  </si>
  <si>
    <t>FREE DEWALT 20V MAX XR POWERSTACK Battery &amp; Charger Starter Kit with Purchase of DEWALT 20V MAX ATOMIC Brushless Power Tools (Tools Only); November 1-December 1</t>
  </si>
  <si>
    <t>DEWALT 20V MAX ATOMIC Drill &amp; Driver Impact Driver</t>
  </si>
  <si>
    <t>DEWALT 20V MAX ATOMIC Impact Driver</t>
  </si>
  <si>
    <t>DEWALT 20V MAX ATOMIC XR 5Ah Battery, 2pk</t>
  </si>
  <si>
    <t>DEWALT 20V MAX Brushless Random Orbit Sander</t>
  </si>
  <si>
    <t>DEWALT 20V MAX Circular Saw (Tool Only)</t>
  </si>
  <si>
    <t>DEWALT 20V MAX Drill &amp; Impact Driver Kit with Rapid Load Drilling &amp; Driving Set</t>
  </si>
  <si>
    <t>Save $70 Ace Rewards Exclusive; Nobmer 19-December 1</t>
  </si>
  <si>
    <t>DEWALT 20V MAX Reciprocating Saw (Tool Only)</t>
  </si>
  <si>
    <t>DEWALT 20V MAX Trimmer &amp; Blower Combo Kit</t>
  </si>
  <si>
    <t>Save $60 Ace Rewards Exclusive; November 1-December 1</t>
  </si>
  <si>
    <t>DEWALT 24T Framing Circular Saw Blade, 10"</t>
  </si>
  <si>
    <t>DeWalt 25' Magnetic Tape Measure, 2pk</t>
  </si>
  <si>
    <t>DeWalt Atomic 20V Brushless 2-Tool 2.0Ah Kit</t>
  </si>
  <si>
    <t>Exclusive; Includes Drill/Driver, Impact Driver, Two Batteries, Charger, and Bag; 11/6-11/26</t>
  </si>
  <si>
    <t>DeWalt Atomic 20V Brushless 2-Tool 2.0Ah/5.0Ah Kit</t>
  </si>
  <si>
    <t>Exclusive; Includes Hammer Drill/Driver, Impact Driver, Two Batteries, Charger, and Bag; Get 1 Free Select Power Tool: DeWalt 20V Max 13" String Trimmer (Tool Only), 20V Max XR Brushless Blower (Tool Only), 20V Max Brushless 6-1/2" Circular Saw (Tool Only), 20V Max XR Brushless Jig Saw (Tool Only); 10/27/25-2/1/2026</t>
  </si>
  <si>
    <t>DEWALT Black &amp; Gold Drill Bit Set, 20pc</t>
  </si>
  <si>
    <t>DEWALT Black &amp; Gold Impact Ready Drill Bit Set, 7pc</t>
  </si>
  <si>
    <t>DeWalt Cordless Roofing Nailer, Tool Only</t>
  </si>
  <si>
    <t>DeWalt Folding Utility Knife Set, 2pc</t>
  </si>
  <si>
    <t>DEWALT Max Fit Screwdriver Bit Set, 30pc</t>
  </si>
  <si>
    <t>DEWALT Max Fit Screwdriving Bit Set, 60pc</t>
  </si>
  <si>
    <t>DeWalt MaxFit Telescoping Ratcheting Screwdriver Set, 10pc</t>
  </si>
  <si>
    <t>DeWalt MaxFit Ultra Driving Bit Set, 30pc</t>
  </si>
  <si>
    <t>DEWALT Steel Handle Rip Claw Hammer, 16oz</t>
  </si>
  <si>
    <t>DeWalt Tough System 2.0 10-Compartment Deep Organizer</t>
  </si>
  <si>
    <t>DeWalt Tough System 2.0 12.3" 3-Drawer Tool Box</t>
  </si>
  <si>
    <t>DeWalt Tough System 2.0 24" Large Tool Box</t>
  </si>
  <si>
    <t>DeWalt Toughseries Construction Jack</t>
  </si>
  <si>
    <t>Diablo Circular Saw Blades, Select</t>
  </si>
  <si>
    <t>Buy More Save More</t>
  </si>
  <si>
    <t>Spend $30 &amp; Save $5, Spend $50+ &amp; Save $10; November 1-December 1</t>
  </si>
  <si>
    <t>Diablo Reciprocating Saw Blades, Select</t>
  </si>
  <si>
    <t>ecobee Smart Thermostat Premium Plus Pack, Includes 2 SmartSensors</t>
  </si>
  <si>
    <t>Online Only; Valid 11/27/25; Limit 2</t>
  </si>
  <si>
    <t>EGO POWER+ 56V 12" Snow Shovel Kit, Includes 2.5Ah Lithium Battery &amp; Charger</t>
  </si>
  <si>
    <t>Save $90 Instantly</t>
  </si>
  <si>
    <t xml:space="preserve">EGO POWER+ 56V 21" Single-Stage Snow Thrower Kit, Includes 2-5Ah Lithium Batteries and Charger </t>
  </si>
  <si>
    <t>EGO POWER+ 56V 24" Self-Propelled Two-Stage Snow Thrower Kit, Includes 2-7.5Ah Lithium Batteries and Charger</t>
  </si>
  <si>
    <t>Save $250 Instantly</t>
  </si>
  <si>
    <t>EGO POWER+ 56V Trimmer &amp; Blower Combo Kit, Includes 4 Ah Lithium Battery &amp; Charger</t>
  </si>
  <si>
    <t>Save $100 Ace Rewards Exclusive; November 19-December 24th ONLY</t>
  </si>
  <si>
    <t>Fanttik S1 Apex Electric Foldable Screwdriver</t>
  </si>
  <si>
    <t>$15 Off</t>
  </si>
  <si>
    <t>Gorilla Ladder 22' Reach MPX Aluminum Multi-Position Ladder, Type IA</t>
  </si>
  <si>
    <t>Gorilla Rack Industrial Shelving, 77" x 24" x 72"</t>
  </si>
  <si>
    <t>HDX 14" Cotton Painter's Towels, 24pk</t>
  </si>
  <si>
    <t>HDX Easy-Tear Microfiber Roll, 50 Sheets</t>
  </si>
  <si>
    <t>HDX Pop-n-Go Dual Layer Disposable Nitrile Gloves, 40ct</t>
  </si>
  <si>
    <t>Husky 15-in-1 Stainless Steel Painter's Tool</t>
  </si>
  <si>
    <t>Husky 2500 Lumen Rechargeable Magnetic LED Work Light</t>
  </si>
  <si>
    <t>Husky 3-Ton Low-Profile Jack</t>
  </si>
  <si>
    <t>Exclusive; 11/6-11/26; Special Buy</t>
  </si>
  <si>
    <t>Husky 3/8" Drive Socket Wrench Set, 24pc</t>
  </si>
  <si>
    <t>Husky 4-Tier Industrial-Duty Steel Storage Shelf, Black or Red</t>
  </si>
  <si>
    <t>Husky 42-Gallon Contractor Clean-Up Bags, 50ct</t>
  </si>
  <si>
    <t>Husky 42" 12-Drawer Steel Tool Chest</t>
  </si>
  <si>
    <t xml:space="preserve">Exclusive; 11/6-11/26; Special Buy </t>
  </si>
  <si>
    <t>Husky 46" Mobile 9-Drawer Workbench</t>
  </si>
  <si>
    <t>Husky 5-Tier Steel Tote Storage Rack</t>
  </si>
  <si>
    <t>Husky 52" 10-Drawer Red Mobile Workbench</t>
  </si>
  <si>
    <t>Exclusive; 11/6-11/26; Special Buy; FREE Peg Board Included</t>
  </si>
  <si>
    <t>Husky 52" 15-Drawer Heavy Duty Steel Tool Chest</t>
  </si>
  <si>
    <t xml:space="preserve">Husky 6-in-1 Screwdriver </t>
  </si>
  <si>
    <t>Husky 8' 14/3 Heavy Duty 6-Outlet Magnetic Surge Protector</t>
  </si>
  <si>
    <t>Husky 800 Lumen Rechargeable Magnetic Tripod LED Work Light</t>
  </si>
  <si>
    <t>Husky Adjustable Wrench Set, 3pc</t>
  </si>
  <si>
    <t>Husky Bite Hex Key Set, 18pc</t>
  </si>
  <si>
    <t>Husky Folding Lock Back Utility Knife</t>
  </si>
  <si>
    <t>Husky Mechanics Tool Set, 280pc</t>
  </si>
  <si>
    <t>Husky Mechanics Tool Set, 94pc</t>
  </si>
  <si>
    <t>Husky Pry Bar Set, 3pc</t>
  </si>
  <si>
    <t>Husky Ratcheting Combination Wrench Set, 7pc</t>
  </si>
  <si>
    <t>Husky Stainless Steel Putty Knife and Scraper Set, 3pk</t>
  </si>
  <si>
    <t>Husky Stubby Tool Set, 46pc</t>
  </si>
  <si>
    <t>Husky Universal Mechanics Set, 300pc</t>
  </si>
  <si>
    <t>Makita LXT 18V 4.0Ah Battery Kit</t>
  </si>
  <si>
    <t>Exclusive; Includes Two Batteries and Charger; Get 1 Free Select Power Tool: LXT 18V Multi-Tool (Tool Only) or LXT 18V Brushless Blower (Tool Only); Special Buy; Special Buy; 11/6-11/26</t>
  </si>
  <si>
    <t>MetalTech Safeclimb 6' Baker Rolling Scaffold with Platform and Included Trap Door, 1250lbs Load Capacity</t>
  </si>
  <si>
    <t>Milwaukee 25' Compact Magnetic Tape Measure, 2pk</t>
  </si>
  <si>
    <t>Special Buy; 11/6-11/26; Buy Any 3 &amp; Save $10; Buy Any 5 &amp; Save $30</t>
  </si>
  <si>
    <t>Milwaukee 7" Rafter &amp; 4-1/5" Trim Square Set</t>
  </si>
  <si>
    <t>Milwaukee Dual Power LED Tripod Tower Light (Tool Only)</t>
  </si>
  <si>
    <t>Save $70 Instantly</t>
  </si>
  <si>
    <t>Milwaukee Fastback Folding Utility Knife, 2pk</t>
  </si>
  <si>
    <t>Milwaukee GFCI Receptacle Tester &amp; Voltage Detector</t>
  </si>
  <si>
    <t>Milwaukee Hole Dozer Bi-Metal Hole Saw Kit, 8pc</t>
  </si>
  <si>
    <t>Milwaukee M12 Brushless Drill/Driver &amp; Impact Driver Kit</t>
  </si>
  <si>
    <t>Milwaukee M12 Cut Off Tool, Stapler, or Ratchet, TOOLS ONLY</t>
  </si>
  <si>
    <t>FREE Milwaukee M12 REDLITHIUM CP2.0 2Ah Battery with Purchase of Milwaukee M12 Cut-Off Tool, Stapler, or Ratchet; November 1-December 1</t>
  </si>
  <si>
    <t>Milwaukee M12 Fuel 12V 2-Tool 2.0Ah/4.0Ah Kit</t>
  </si>
  <si>
    <t>Exclusive; Includes Hammer Drill/Driver, Impact Driver, Two Batteries, Charger, and Bag; 11/6-11/26</t>
  </si>
  <si>
    <t>Milwaukee M12 FUEL Brushless Drill/Driver &amp; Impact Driver Kit</t>
  </si>
  <si>
    <t>Milwaukee M18 18V Battery 5.0AH Kit, 2pk</t>
  </si>
  <si>
    <t>Special Buy; Includes 2 Batteries and Charger; Get 1 Free Select Power Tool M18 18V Oscillating Multi-Tool (Tool Only), 18V Brushless Blower (Tool Only), M18 RedLithium High Output 18V Battery 6.0Ah, M18 18V Inflator (Tool Only); 18V Gen 2 Sawzall (Tool Only); 18V Jig Saw (Tool Only); 10/27/25-2/1/2026</t>
  </si>
  <si>
    <t>Milwaukee M18 Brushless Drill &amp; Impact Driver Kit</t>
  </si>
  <si>
    <t>Milwaukee M18 FUEL 18V Brushless 18-Gauge Brad Nailer, Tool Only</t>
  </si>
  <si>
    <t>10/27/2025-2/1/2026</t>
  </si>
  <si>
    <t>Milwaukee M18 FUEL 18V Brushless 2-Tool 5.0Ah Kit</t>
  </si>
  <si>
    <t>Special Buy; Includes Hammber Drill/Driver, Impact Driver, Two Batteries, Charger, and Case; Get 1 Free Select Power Tool M18 18V Oscillating Multi-Tool (Tool Only), 18V Brushless Blower (Tool Only), M18 RedLithium High Output 18V Battery 6.0Ah, M18 18V Inflator (Tool Only); 18V Gen 2 Sawzall (Tool Only); 18V Jig Saw (Tool Only); 10/27/25-2/1/2026</t>
  </si>
  <si>
    <t>Milwaukee M18 Pruning Saw (Tool Only), Circular Saw (Tool Only), or Brushless Hammer Drill/Driver Kit</t>
  </si>
  <si>
    <t>FREE Milwaukee M18 REDLITHIUM FORGE 8 Ah Battery with Purchase of Milwaukee  M18 Pruning Saw (Tool Only), Circular Saw (Tool Only), or Brushless Hammer Drill/Driver Kit; November 1 - December 1</t>
  </si>
  <si>
    <t>Milwaukee M18 Random Orbit Sander (Tool Only)</t>
  </si>
  <si>
    <t>Milwaukee M18 REDLITHIUM Brushless Drill &amp; Impact Driver Kit</t>
  </si>
  <si>
    <t>Red Hot Buy</t>
  </si>
  <si>
    <t>Get One Free Milwaukee M18 Tire Inflator, SAWZALL Brushless Reciprocating Saw, or Brushless Grinder (Tools Only); November 1-December 1</t>
  </si>
  <si>
    <t>Milwaukee M18 REDLITHIUM Extended Capacity Battery &amp; Charger</t>
  </si>
  <si>
    <t>Milwaukee Packout 20" Organizer</t>
  </si>
  <si>
    <t>Instantly Save Up to $150 When you Spend $399 or More on Qualifying Packout Products: Spend $199 Instantly Save $50, Spend $299 Instantly Save $90, Spend $399 Instantly Save $150; 10/27/2025-2/1/2026</t>
  </si>
  <si>
    <t>Milwaukee Packout 22" 2-Drawer Tool Box</t>
  </si>
  <si>
    <t>Milwaukee Packout 22" Rolling Tool Box</t>
  </si>
  <si>
    <t>Milwaukee PACKOUT Tool Storage</t>
  </si>
  <si>
    <t>Spend $199 &amp; Save $50, Spend $299 &amp; Save $90, Spend $399+ &amp; Save $150; Red Hot Buy; November 1-December 1</t>
  </si>
  <si>
    <t>Milwaukee Ratcheting Screwdriver Set, 2pc</t>
  </si>
  <si>
    <t>Milwaukee Sawzall Blade Set, 5pc</t>
  </si>
  <si>
    <t>Milwaukee Screwdriver Set, 10pc</t>
  </si>
  <si>
    <t>Milwaukee Shockwave Impact Driver Bit Set, 18pc</t>
  </si>
  <si>
    <t>Milwaukee Shockwave Impact Driver Bit Set, 38pc</t>
  </si>
  <si>
    <t>Milwaukee Shockwave Impact Duty Bit Set, 74pc</t>
  </si>
  <si>
    <t xml:space="preserve">Milwaukee Straight-Jaw Pliers Set, 2pc </t>
  </si>
  <si>
    <t>11/6-11/26; Buy Any 3 &amp; Save $10; Buy Any 5 &amp; Save $30</t>
  </si>
  <si>
    <t>Milwaukee Thunderbolt Black Oxide Drill Bit Set, 21pc</t>
  </si>
  <si>
    <t>Milwaukee Wide Blade Magnetic Tape Measure, 2pk</t>
  </si>
  <si>
    <t>NewAge Products Bold 3.0 Series Garage Storage System, 12pc</t>
  </si>
  <si>
    <t>RIDGID 16-Gallon NXT Wet/Dry Vacuum</t>
  </si>
  <si>
    <t>RIDGID 18V 18-Gauge Brushless Brad Nailer 2.0Ah Kit</t>
  </si>
  <si>
    <t>Exclusive; Includes Battery and Charger; Special Buy; 11/6-11/26</t>
  </si>
  <si>
    <t>RIDGID 18V Brushless 2-Tool 2.0Ah/4.0Ah Kit</t>
  </si>
  <si>
    <t>Exclusive; Includes 1/4" Impact Driver, Hammer, Drill, Two Batteries, Charger, and Bag; Get 1 Free Select Power Tool: 18V Brushless Oscillating Multi-Tool (Tool Only) or 18V Brushless 1/2" Mid-Torque Impact Wrench (Tool Only); 11/6-11/26</t>
  </si>
  <si>
    <t>RIDGID 6.5-Amp 7" Table Top Wet Tile Saw</t>
  </si>
  <si>
    <t>Ryobi Link Speed Bench Mobile Workstation</t>
  </si>
  <si>
    <t>Ryobi One+ 18V 2-Tool 1.5Ah Kit</t>
  </si>
  <si>
    <t>Includes Drill/Driver, Impact Driver, Two Batteries, Charger, and Bag; 11/6-11/26</t>
  </si>
  <si>
    <t>Ryobi One+ 18V 3/8" Drill/Driver 1.5Ah Kit</t>
  </si>
  <si>
    <t>Includes Battery and Charger; 11/6-11/26</t>
  </si>
  <si>
    <t>Ryobi One+ 18V 6-Tool 1.5Ah/4.0Ah Kit</t>
  </si>
  <si>
    <t>Exclusive; Includes Drill/Driver, Impact Driver, Circular Saw, Reciprocating Saw, Multi-Tool, LED Light, Two Batteries, Charger, and Bag; 11/6-11/26</t>
  </si>
  <si>
    <t>Ryobi One+ 18V 8" Pole Saw, Tool Only</t>
  </si>
  <si>
    <t>Ryobi One+ 18V Battery 2.0Ah/4.0Ah Kit, 2pk</t>
  </si>
  <si>
    <t>Special Buy; Includes two batteries and charger; Get 1 Free Select Power Tool - Choose from One+ Whisper Series 18V Hybrid Fan (Tool Only), One+ 18V 13" String Trimmer (Tool Only), One+ 18V Reciprocating Saw (Tool Only), One+ 18V Multi-Tool (Tool Only), One+ 18V 1/2" ImpactDriver (Tool Only), or One+ 18V Compact Router (Tool Only); 10/27/25-2/1/2026</t>
  </si>
  <si>
    <t>Ryobi One+ 18V Blower 4.0Ah Kit</t>
  </si>
  <si>
    <t>Special Buy; Includes Battery and Charger; 11/6-11/26</t>
  </si>
  <si>
    <t>Ryobi One+ 18V Gallon Wet/Dry Vacuum, Tool Only</t>
  </si>
  <si>
    <t>Ryobi One+ HP Whisper Series 18V Brushless Blower 4.0Ah Kit</t>
  </si>
  <si>
    <t>Special Buy; Includes battery and charger; Get 1 Free Select Power Tool - Choose from One+ Whisper Series 18V Hybrid Fan (Tool Only), One+ 18V 13" String Trimmer (Tool Only), One+ 18V Reciprocating Saw (Tool Only), One+ 18V Multi-Tool (Tool Only), One+ 18V 1/2" ImpactDriver (Tool Only), or One+ 18V Compact Router (Tool Only); 10/27/25-2/1/2026</t>
  </si>
  <si>
    <t>Ryobi Titanium Step Drill Bit Set, 3pc</t>
  </si>
  <si>
    <t>Ryobi Titanium-Coated Drill Bit Set, 22pc</t>
  </si>
  <si>
    <t>SafeRacks 4'x8' Overhead Garage Storage Rack</t>
  </si>
  <si>
    <t>SafeRacks Storage Bin Rack</t>
  </si>
  <si>
    <t>Simple Green All Purpose Cleaner, Gallon</t>
  </si>
  <si>
    <t>Stanley Powerlock 25' Tape Measure</t>
  </si>
  <si>
    <t>STIHL BGA 60 Battery-Powered Blower Kit</t>
  </si>
  <si>
    <t>FREE STIHL AK 30 Battery with Purchase; November 1-December 1</t>
  </si>
  <si>
    <t>STIHL MSA 70 C-B Battery-Powered Chain Saw Kit</t>
  </si>
  <si>
    <t>Stinger 2-Gallon Wet/Dry Vacuum</t>
  </si>
  <si>
    <t>Toro Power Clear 721 21" Electric Start Single-Stage Gas Snow Thrower</t>
  </si>
  <si>
    <t>Werner 6' Fiberglass Step Ladder, Type I, 250lb Capacity</t>
  </si>
  <si>
    <t>Werner 8' Fiberglass Step Ladder, Type I</t>
  </si>
  <si>
    <t>Werner Fiberglass Extension Ladder, 20'</t>
  </si>
  <si>
    <t>Werner Fiberglass Stepladder, 8'</t>
  </si>
  <si>
    <t>Werner Type II Aluminum Extension Ladder, 20', 225lb Capacity</t>
  </si>
  <si>
    <t>Wooster Pro Roller Cover, 3pk</t>
  </si>
  <si>
    <t>Household</t>
  </si>
  <si>
    <t>SMALL APPLIANCES</t>
  </si>
  <si>
    <t>Bosch 300 Series Fully Automatic Espresso &amp; Coffee Machine</t>
  </si>
  <si>
    <t>Crock-Pot Cook &amp; Carry 7qt Programmable Slow Cooker</t>
  </si>
  <si>
    <t>GE Profile with Hearth &amp; Hand with Magnolia Ice Maker</t>
  </si>
  <si>
    <t>Gourmia 8qt Digital Air Fryer</t>
  </si>
  <si>
    <t>Instant Pot 9-in-1 6qt Pressure Cooker Bundle, Target Exclusive Accessories Included</t>
  </si>
  <si>
    <t>Kenmore 1.1cu ft Microwave</t>
  </si>
  <si>
    <t>Keurig Iced Essentials</t>
  </si>
  <si>
    <t>Keurig K Classic Coffee Maker, Select Styles</t>
  </si>
  <si>
    <t>Price with 15% Off with Coupon; Black Friday Deals; Shop Select Deals In Store &amp; Online 11/23-11/29; Earn $15 Kohl's Cash for Every $50 Spent</t>
  </si>
  <si>
    <t>Keurig K Duo Coffee Maker, Select Styles</t>
  </si>
  <si>
    <t>Keurig K-Iced Plus Single-Serve Iced Coffee Maker</t>
  </si>
  <si>
    <t>Kitchen Appliances, Select Styles</t>
  </si>
  <si>
    <t>Up to 50% Off</t>
  </si>
  <si>
    <t>Plus Save 15% Off with Coupon; Black Friday Deals; Shop Select Deals In Store &amp; Online 11/23-11/29; Earn $15 Kohl's Cash for Every $50 Spent</t>
  </si>
  <si>
    <t>$49.99 and Under</t>
  </si>
  <si>
    <t>KitchenAid Artisan 5qt Stand Mixer, KSM150PS, Select Styles</t>
  </si>
  <si>
    <t>Nespresso Vertuo Next Espresso &amp; Coffee Maker</t>
  </si>
  <si>
    <t>Ninja 18qt Flip Toaster Oven &amp; Air Fryer</t>
  </si>
  <si>
    <t>Ninja Blast 18oz Compact Portable Blender</t>
  </si>
  <si>
    <t>Ninja Crispi 5-in-1 Portable Glass Air Fry Cooking System</t>
  </si>
  <si>
    <t>Ninja Flip 8-in-1 Toaster Oven &amp; Air Fryer</t>
  </si>
  <si>
    <t>Ninja Pro XL 6-in-1 6.5qt Air Fryer</t>
  </si>
  <si>
    <t>Ninja Professional Blender with Auto IQ</t>
  </si>
  <si>
    <t>Ninja Professional Plus Auto-iQ Blender</t>
  </si>
  <si>
    <t>Ninja SLUSHi Frozen Drink Maker, Select Styles</t>
  </si>
  <si>
    <t>Nutribullet Pro+ Single-Serve Blender</t>
  </si>
  <si>
    <t>Panasonic 1.2cu ft Countertop Microwave Oven</t>
  </si>
  <si>
    <t>Toastmaster Kitchen Appliances</t>
  </si>
  <si>
    <t>Doorbuster; Price with 15% Off Coupon; Shop Online Thursday 11/27 @ 12:01AM (CT) &amp; In Store Friday 11/28 @ 5:00AM (Local Time); Earn $15 Kohl's Cash for Every $50 Spent</t>
  </si>
  <si>
    <t>Vitamix Alta Pro blender</t>
  </si>
  <si>
    <t>MAJOR APPLIANCES</t>
  </si>
  <si>
    <t>Electrolux Front Load 4.5cu ft Washer and 8cu ft Dryer with LuxCare Plus, Available in Electric or Gas</t>
  </si>
  <si>
    <t>$180-$360 Off</t>
  </si>
  <si>
    <t>Frigidaire 28.8cu ft Stainless Steel French Door Refrigerator</t>
  </si>
  <si>
    <t>Special Buy; Instantly Save Up to an Extra $1000 When You Buy 2 or More Select Kitchen Appliances $298+ 11/5-12/3; Free Delivery on Appliance Purchases of $396 or More 11/5-12/3; 12 Months Financing on Storewide Purchases of $299+ 11/5-12/17</t>
  </si>
  <si>
    <t>Frigidaire Gallery 6.2cu ft Stainless Steel Electric Range</t>
  </si>
  <si>
    <t>GE 21.9cu ft Stainless Steel Counter-Depth French Door Refrigerator</t>
  </si>
  <si>
    <t>GE 27cu ft Stainless Steel French Door Refrigerator</t>
  </si>
  <si>
    <t>GE 4.5cu ft Diamond Gray HE Washer &amp; 7.4cu ft Dryer</t>
  </si>
  <si>
    <t>GE 4.6cu ft Carbon Graphite Finish Washer &amp; 7.8cu ft Dryer</t>
  </si>
  <si>
    <t>GE 4.6cu ft HE Washer</t>
  </si>
  <si>
    <t>Exclusive; Special Buy; Instantly Save Up to an Extra $1000 When You Buy 2 or More Select Kitchen Appliances $298+ 11/5-12/3; Free Delivery on Appliance Purchases of $396 or More 11/5-12/3; 12 Months Financing on Storewide Purchases of $299+ 11/5-12/17</t>
  </si>
  <si>
    <t>GE 5.3cu ft Stainless Steel Convection Electric Range</t>
  </si>
  <si>
    <t>GE Garage-Ready Upright Freezers with Glass Shelves</t>
  </si>
  <si>
    <t>$180-$250 Off</t>
  </si>
  <si>
    <t>Online Only; Costco December Savings; November 17-December 21, 2025; Limit 5 Each</t>
  </si>
  <si>
    <t>GE Profile 27.9cu ft Stainless Steel French 4-Door Refrigerator</t>
  </si>
  <si>
    <t>GE Profile 27" Electric Combination Microwave/Wall Ovens with Convection and Glass Touch Controlls</t>
  </si>
  <si>
    <t>$1350 Off</t>
  </si>
  <si>
    <t>GE Profile 30" Electric Combination Microwave/Wall Ovens with Convection and Glass Touch Controlls</t>
  </si>
  <si>
    <t>$1500 Off</t>
  </si>
  <si>
    <t>GE Profile 30" Induction Cooktops with Precision Temperature Control &amp; Power Boil</t>
  </si>
  <si>
    <t>$400 Off</t>
  </si>
  <si>
    <t>GE Profile 36" Induction Cooktops with Precision Temperature Control &amp; Power Boil</t>
  </si>
  <si>
    <t>GE Profile 4.6cu ft Ultrafast Combo Washer/Dryer</t>
  </si>
  <si>
    <t>GE Stainless Steel Kitchen Package, 4 Pieces</t>
  </si>
  <si>
    <t>Package Includes:  5.3cu ft Stainless Steel Electric Range ($678), 1.9cu ft Stainless Steel Over-the-Range Microwave ($308), 25.6cu ft Stainless Steel French Door Refrigerator ($1598), and Stainless Steel Tall-Tub Dishwasher ($448); Exclusive; Special Buy; Instantly Save Up to an Extra $1000 When You Buy 2 or More Select Kitchen Appliances $298+ 11/5-12/3; Free Delivery on Appliance Purchases of $396 or More 11/5-12/3; 12 Months Financing on Storewide Purchases of $299+ 11/5-12/17</t>
  </si>
  <si>
    <t>GE Stainless Steel Tall-Tub Dishwasher</t>
  </si>
  <si>
    <t>Hisense 10.2cu ft Garage Ready Frost-Free Convertible Upright Freezer with Seal Break Handle</t>
  </si>
  <si>
    <t>LG 20cu ft Top Freezer Refrigerator, Stailness Steel or Black</t>
  </si>
  <si>
    <t>LG 27cu ft Stainless Steel Side-by-Side Refrigerator</t>
  </si>
  <si>
    <t>LG 28.6cu ft Stainless Steel Max French 4-Door Refrigerator</t>
  </si>
  <si>
    <t>LG 28cu ft Stainless Steel French Door Refrigerator</t>
  </si>
  <si>
    <t>LG 4.5cu ft HE Washer &amp; 7.4cu ft Steam Dryer</t>
  </si>
  <si>
    <t>LG 5.0cu ft Platinum Black HE Washer &amp; 7.3cu ft Dryer</t>
  </si>
  <si>
    <t>LG 6.3cu ft Stainless Steel Electric Range</t>
  </si>
  <si>
    <t>LG All-in-One Washer and Dryer, Select</t>
  </si>
  <si>
    <t>$400-$1600 Off</t>
  </si>
  <si>
    <t>LG Refrigerators, Select</t>
  </si>
  <si>
    <t>$750-$900 Off</t>
  </si>
  <si>
    <t>LG Stainless Steel Kitchen Package, 4 Pieces</t>
  </si>
  <si>
    <t>Package Includes: Stainless Steel Tall-Tub QuadWash Dishwasher ($548), 25cu ft Stainless Steel Counter-Depth Max French Door Refrigerator ($1798), 1.8cu ft Stainless Steel Over-the-Range Smart Microwave ($248), and 5.8cu ft Stainless Steel Gas Convection Range ($898); Exclusive; Special Buy; Instantly Save Up to an Extra $1000 When You Buy 2 or More Select Kitchen Appliances $298+ 11/5-12/3; Free Delivery on Appliance Purchases of $396 or More 11/5-12/3; 12 Months Financing on Storewide Purchases of $299+ 11/5-12/17</t>
  </si>
  <si>
    <t>LG Stainless Steel Tall-Tub Dishwasher</t>
  </si>
  <si>
    <t>LG Wi-Fi Enabled Single Unit WashTowers, Avaiable in Electric, Gas, or heat Pump Electric</t>
  </si>
  <si>
    <t>$900-$1200 Off</t>
  </si>
  <si>
    <t>Samsung 23cu ft Counter-Depth 4-Door French Door Refrigerator with Beverage Center</t>
  </si>
  <si>
    <t>$1200 Off</t>
  </si>
  <si>
    <t>Samsung 27.4cu ft Large Capacity Side by Side Refrigerator, Stainless or Black Stainless Steel</t>
  </si>
  <si>
    <t>$500 Off</t>
  </si>
  <si>
    <t>Samsung 29cu ft Bespoke Stainless Steel French 4-Door Refrigerator</t>
  </si>
  <si>
    <t>Samsung 5.3cu ft Bespoke Brushed Black Vented All-in-One Washer/Dryer</t>
  </si>
  <si>
    <t>Samsung 5.3cu ft Bespoke Dark Steel Ventless All-in-One Washer/Dryer</t>
  </si>
  <si>
    <t>Samsung 5cu ft Extra Large Capacity Smart Front Load Washer with Super Speed Wash and 7.5cu ft Smart Dryer</t>
  </si>
  <si>
    <t>$270-$540 Off</t>
  </si>
  <si>
    <t>Samsung Bespoke 4-Door French Door Refrigerator with Family Hub, Full or Counter Depth</t>
  </si>
  <si>
    <t>$1400 Off</t>
  </si>
  <si>
    <t>Samsung Bespoke AI All-in-One Washer Dryer Combo 5.3cu ft Ultra Capacity Washer and Ventless Heat Pump Dryer</t>
  </si>
  <si>
    <t>$1000-$1150 Off</t>
  </si>
  <si>
    <t>Samsung Induction Ranges, Select</t>
  </si>
  <si>
    <t>$320-$1200 Off</t>
  </si>
  <si>
    <t>Samsung Smart Freestanding Range with No-Preheat Air Fryer and Convection, Available in Electric or Gas</t>
  </si>
  <si>
    <t>$320-$370 Off</t>
  </si>
  <si>
    <t>Samsung Stainless Steel Tall Tub Dishwasher</t>
  </si>
  <si>
    <t>Vissani 18.7cu ft Stainless Steel Bottom Freezer Refrigerator</t>
  </si>
  <si>
    <t>Vissani 18cu ft Top Freezer Refrigerator</t>
  </si>
  <si>
    <t>Vissani 5.0cu ft Chest Freezer</t>
  </si>
  <si>
    <t>Whirlpool 4.2-4.3cu ft 2-in-1 Washer</t>
  </si>
  <si>
    <t>Whirlpool 4.5cu ft Washer</t>
  </si>
  <si>
    <t>FOOD PREP &amp; SERVICE</t>
  </si>
  <si>
    <t>Chinet Classic Dinner Plates, 165ct</t>
  </si>
  <si>
    <t>$5 Off</t>
  </si>
  <si>
    <t>Corelle Dinnerware, Select</t>
  </si>
  <si>
    <t>Buy One Get One 25% Off</t>
  </si>
  <si>
    <t>With Target Circle; November 9-15</t>
  </si>
  <si>
    <t>Cutlery Blocks and Knife Sets, Select Styles</t>
  </si>
  <si>
    <t>Dinnerware, Select Styles</t>
  </si>
  <si>
    <t>Up to 60% Off</t>
  </si>
  <si>
    <t>Flatware, Select Styles</t>
  </si>
  <si>
    <t>Food Storage, Select Styles</t>
  </si>
  <si>
    <t>Hefty Diamond Dinner Plates, 150ct</t>
  </si>
  <si>
    <t>Kirkland Signature Elegant Plastic Plates, Variety Pack 2/25ct</t>
  </si>
  <si>
    <t>$3.10 Off</t>
  </si>
  <si>
    <t>Kitchen and Dining, Select Styles</t>
  </si>
  <si>
    <t>Rubbermaid Brilliance Food Storage Containers</t>
  </si>
  <si>
    <t>COOKWARE</t>
  </si>
  <si>
    <t>Calphalon Cookware Sets, Select Styles</t>
  </si>
  <si>
    <t>Cangshan Cutlery N1 Series Knife Set, 23pc</t>
  </si>
  <si>
    <t>Chinet Cut Crystal Clear Plastic Cups, 150/10oz</t>
  </si>
  <si>
    <t>$3 Off</t>
  </si>
  <si>
    <t>Costco December Savings; November 17-December 1, 2025; Limit 3</t>
  </si>
  <si>
    <t>Circulon Cookware Sets, Select Styles</t>
  </si>
  <si>
    <t>Cookware, Select Styles</t>
  </si>
  <si>
    <t>Cuisinart Classic Nonstick Frying Pan Set, 2pc</t>
  </si>
  <si>
    <t>Cuisinart Cookware Sets, Select Styles</t>
  </si>
  <si>
    <t>GreenPan Prism Nonstick Frying Pan Set, 2pc</t>
  </si>
  <si>
    <t>Lodge Cast Iron Enamel Dutch Oven, 7.5qt</t>
  </si>
  <si>
    <t>Nordic Ware Bundt 12-Cup Cake Baking Pan</t>
  </si>
  <si>
    <t>Reynolds Wrap Heavy Duty Aluminum Foil, 2/150sq ft</t>
  </si>
  <si>
    <t>$6 Off</t>
  </si>
  <si>
    <t>Vanity Fair Entertain 3-Ply Napkins, 240ct</t>
  </si>
  <si>
    <t>$3.50 Off</t>
  </si>
  <si>
    <t>FURNITURE</t>
  </si>
  <si>
    <t>Adjustable Bed Base, Queen</t>
  </si>
  <si>
    <t>Beautyrest 14.5" Silver Hybrid DualCool Plush Mattress, Queen</t>
  </si>
  <si>
    <t>Coddle Luke Fabric Sleeper Sofa with Reversible Chaise</t>
  </si>
  <si>
    <t>Elle Decor Criss-Cross Chair, Cream or Black</t>
  </si>
  <si>
    <t>Ergonomic Crrosed Leg Office Chair</t>
  </si>
  <si>
    <t>FUFU&amp;GAGA 75" TV Stand</t>
  </si>
  <si>
    <t>FUFU&amp;GAGA 8-Door Armoire</t>
  </si>
  <si>
    <t>FUFU&amp;GAGA 9-Drawer Vanity Desk</t>
  </si>
  <si>
    <t>Henredon Murphy Swivel Chair</t>
  </si>
  <si>
    <t>Home Decorators Collection Bellkirk Accent Table</t>
  </si>
  <si>
    <t>Home Decorators Collection Boucle Pouf Ottoman</t>
  </si>
  <si>
    <t>Home Decorators Collection Holbrook Hall Tree</t>
  </si>
  <si>
    <t>Home Decorators Collection Idlewood Dining Chair Set, 2pc</t>
  </si>
  <si>
    <t>Home Decorators Collection Marsden Queen Bed</t>
  </si>
  <si>
    <t>Jonathan Y 8'x10' Modern Persian Light Gray Area Rug</t>
  </si>
  <si>
    <t>Karson Leather Power Reclining Sectional with Power Headrests</t>
  </si>
  <si>
    <t>La-Z-Boy Jax Rocker Recliner</t>
  </si>
  <si>
    <t>Online Only; Valid 11/27/25; Limit 5</t>
  </si>
  <si>
    <t>Livabliss 8'x10' Lawrence Cream/Black Area Rug</t>
  </si>
  <si>
    <t>Marina Del Rey Bedroom Collection</t>
  </si>
  <si>
    <t>$50-$200 Off</t>
  </si>
  <si>
    <t>Online Only; Costco December Savings; November 17-December 21, 2025</t>
  </si>
  <si>
    <t>Mason Leather Power Glider Recliner with Power Headrest</t>
  </si>
  <si>
    <t>Novaform 14" Serafina PerfectTemp Gel Memory Foam Mattress, Queen</t>
  </si>
  <si>
    <t>Novaform Soothing Cool Plus Gel Memory Foam Mattress Topper, Queen</t>
  </si>
  <si>
    <t>Osaki AI Envy 3D Massage Chair</t>
  </si>
  <si>
    <t>Puerta Del Sol Console</t>
  </si>
  <si>
    <t>Sereen Fabric Modular Sectional, 6pc</t>
  </si>
  <si>
    <t>Serta Sleep to Go Mattress, Queen</t>
  </si>
  <si>
    <t>StyleWell Artificial Fiddle Leaf Fig Tree</t>
  </si>
  <si>
    <t>StyleWell Goodwin Velvet Rectangle Sofa</t>
  </si>
  <si>
    <t>Thomasville Glenn Fabric Sectional with Storage Chaise</t>
  </si>
  <si>
    <t>Titan Pro 8500 MAX 4D Reclining Massage Chair</t>
  </si>
  <si>
    <t>Tuft &amp; Needle 9.5" Memory Foam Mattress, Queen</t>
  </si>
  <si>
    <t>Walker Edison Furniture Company Arched 5-Shelf Bookcase</t>
  </si>
  <si>
    <t>Walker Edison Furniture Company Waterfall Edige Sideboard</t>
  </si>
  <si>
    <t>WallSupply Linari Wall Panels, Set of 4</t>
  </si>
  <si>
    <t>Westen Dining Set, 7pc</t>
  </si>
  <si>
    <t>LUGGAGE</t>
  </si>
  <si>
    <t>Delsey Paris Hardside Luggage Set, 2pc</t>
  </si>
  <si>
    <t>Licensed Backpacks, Select</t>
  </si>
  <si>
    <t>Licensed Luggage, Select</t>
  </si>
  <si>
    <t>Luggage, Select Styles</t>
  </si>
  <si>
    <t>65% Off</t>
  </si>
  <si>
    <t>Skyway Flair Luggage, All Sizes</t>
  </si>
  <si>
    <t>Swiss Mobility MKE Luggage, All Sizes</t>
  </si>
  <si>
    <t>Swissgear Backpacks, Select</t>
  </si>
  <si>
    <t>Swissgear Luggage, Select</t>
  </si>
  <si>
    <t>VACUUMS/MOPS</t>
  </si>
  <si>
    <t>Bissell FurFinder Stick Vacuum</t>
  </si>
  <si>
    <t>Black Friday Deals; Shop Select Deals In Store &amp; Online 11/23-11/29; Coupons Do Not Apply; Earn $15 Kohl's Cash for Every $50 Spent</t>
  </si>
  <si>
    <t>Bissell Little Green Max Pet Portable Carpet Cleaner</t>
  </si>
  <si>
    <t>BISSELL PowerClean FurGuard Deluxe 280W Cordless Vacuum with Extra Battery</t>
  </si>
  <si>
    <t>Bissell PowerClean FurGuard Pet Vacuum</t>
  </si>
  <si>
    <t>Bissell ReadyClean Multi-Surface Stick Vacuum</t>
  </si>
  <si>
    <t>Black+Decker Powerseries+ 20V Cordless Stick Vacuum, Select Styles</t>
  </si>
  <si>
    <t>Dirt Devil Portable Carpet &amp; Upholstery Spot Cleaner</t>
  </si>
  <si>
    <t>Dyson Ball Animal 3+ Upright Vacuum</t>
  </si>
  <si>
    <t>Dyson V11 Stick Vacuum</t>
  </si>
  <si>
    <t>Dyson V12 Detect Slim Cordless Vacuum Cleaner</t>
  </si>
  <si>
    <t>Dyson V15 Detect Total Clean Extra Cordless Stick Vacuum</t>
  </si>
  <si>
    <t>Dyson V9 Motorbar Vacuum</t>
  </si>
  <si>
    <t>Dyson V9 Submarine Extra Cordless Wet and Dry Stick Vacuum</t>
  </si>
  <si>
    <t>Floor Care, Select Styles</t>
  </si>
  <si>
    <t>Hoover WindTunnel Pet Upright Vacuum</t>
  </si>
  <si>
    <t>Roborock QX Revo Vacuum and Mop Robot with Multifunctional Dock</t>
  </si>
  <si>
    <t>Shark Cordless Upright Vacuum, SV1106</t>
  </si>
  <si>
    <t>Shark HydroVac Cordless Vacuum</t>
  </si>
  <si>
    <t>Shark Matrix 2-in-1 Self-Empty Robot Vacuum and Mop</t>
  </si>
  <si>
    <t>Shark Navigator Swivel Pro Upright Vacuum</t>
  </si>
  <si>
    <t>Shark Pet Cordless Stick Vacuum</t>
  </si>
  <si>
    <t>Shark Pet Stick Vacuum</t>
  </si>
  <si>
    <t>Shark PowerDetect Clean &amp; Empty Stick Vacuum</t>
  </si>
  <si>
    <t>Shark Powerpro Portable Stick Vacuum</t>
  </si>
  <si>
    <t>Shark Robot, RV754</t>
  </si>
  <si>
    <t>Shark Rotator Professional Lift-Away Upright Vacuum, Select Styles</t>
  </si>
  <si>
    <t>Shark Rotator TruePet Upright Vacuum</t>
  </si>
  <si>
    <t>Shark Steam Pocket Mop</t>
  </si>
  <si>
    <t>Tineco GO Wet &amp; Dry Mop &amp; Vacuum with ZeroTangle Technology</t>
  </si>
  <si>
    <t>Tineco HammerHead Cordless Floor Washer, SElect Styles</t>
  </si>
  <si>
    <t>Tineco iFloor 3 Ultra Cordless Wet Dry Hard Floor Vacuum</t>
  </si>
  <si>
    <t>BEDDING</t>
  </si>
  <si>
    <t>Becky Cameron Gel-Fiber Queen Pillow, 2pk</t>
  </si>
  <si>
    <t>Bedding, Select Styles</t>
  </si>
  <si>
    <t>Casaluna Bedding, Select</t>
  </si>
  <si>
    <t>Price with 15% Off Coupon; Black Friday Deals; Shop Select Deals In Store &amp; Online 11/23-11/29; Earn $15 Kohl's Cash for Every $50 Spent</t>
  </si>
  <si>
    <t>Character Buddy and Throw Sets</t>
  </si>
  <si>
    <t>70% Off</t>
  </si>
  <si>
    <t>Hotel Grand White Down Comforter, King</t>
  </si>
  <si>
    <t xml:space="preserve">Hotel Grand White Down Comforter, Queen </t>
  </si>
  <si>
    <t>Koolaburra by Ugg Wiona Throws, Select Styles</t>
  </si>
  <si>
    <t>Sheets, Select Styles</t>
  </si>
  <si>
    <t>November 9-15; Excludes Pillows</t>
  </si>
  <si>
    <t>The Big One Pillow, Select Styles</t>
  </si>
  <si>
    <t>The Big One Plus Throw, Select Styles</t>
  </si>
  <si>
    <t>Threshold Bedding, Select</t>
  </si>
  <si>
    <t>$25 Off</t>
  </si>
  <si>
    <t>BATH</t>
  </si>
  <si>
    <t>Bath &amp; Body Sets, Select Styles</t>
  </si>
  <si>
    <t>Starting at $4.99</t>
  </si>
  <si>
    <t>Kohler PureWash E815 Premium Bidet Toilet Seat with Remote Control, Elongated or Round</t>
  </si>
  <si>
    <t>Sonoma Goods for Life Bath Towels, Select Styles</t>
  </si>
  <si>
    <t>Starting at $5.09</t>
  </si>
  <si>
    <t>The Big One Bath Towel, Select Styles</t>
  </si>
  <si>
    <t>Towels, Select</t>
  </si>
  <si>
    <t>WORKOUT EQUIPMENT</t>
  </si>
  <si>
    <t>Centr Runr Treadmill</t>
  </si>
  <si>
    <t>MISC HOUSEHOLD</t>
  </si>
  <si>
    <t>3M Command Wall Hanging Items, Select</t>
  </si>
  <si>
    <t>Buy One Get One 40% Off</t>
  </si>
  <si>
    <t>With Circle; November 9-15</t>
  </si>
  <si>
    <t>Artika Hemisphere Brushed Nickle Flush Mount Ceiling Light</t>
  </si>
  <si>
    <t>Artika Sonolok 15.5sq ft Sound-Absorbing Slatted Panel Kit, 4pk</t>
  </si>
  <si>
    <t>Beyond Bright Super Nova 8000 Lumen LED Motion Activated Light</t>
  </si>
  <si>
    <t>Brightroom Decorative Storage Baskets, Select</t>
  </si>
  <si>
    <t>Brightroom Wire Storage Baskets, Select</t>
  </si>
  <si>
    <t>Candles, Select Styles</t>
  </si>
  <si>
    <t>Command Outdoor Light Clips, 16pc</t>
  </si>
  <si>
    <t>Commercial Electric 3' LED 30-Watt Shop Light</t>
  </si>
  <si>
    <t>Commercial Electric 6" LED Recessed Light, 10pk</t>
  </si>
  <si>
    <t>Defiant Hartford Door Knob, 6pk</t>
  </si>
  <si>
    <t>Defiant Radius Single Cylinder Keypad Deadbolt</t>
  </si>
  <si>
    <t>Genie 1-1/4 HP Ultra-Quet Belt Drive Garage Door Opener</t>
  </si>
  <si>
    <t>Greenmade Storage Bin, 27 Gallon, 8pk</t>
  </si>
  <si>
    <t>Happy Paws Pet Bed, 40" x 30"</t>
  </si>
  <si>
    <t>HDX Tough Tote, 27-Gallon</t>
  </si>
  <si>
    <t>Kohler Provo Sink Kit</t>
  </si>
  <si>
    <t>Lifetime 6' Fold-in-Half Table</t>
  </si>
  <si>
    <t>Pet Toys, Select Styles</t>
  </si>
  <si>
    <t>Rugs, Select Styles</t>
  </si>
  <si>
    <t>Sensor Brite Motion-Activated LED Solar Area Light</t>
  </si>
  <si>
    <t>Wallpaper, Select</t>
  </si>
  <si>
    <t>Sports &amp; Outdoors</t>
  </si>
  <si>
    <t>Alba Leather Power Reclining Sofa with Power Headrests</t>
  </si>
  <si>
    <t>Aquaterrya Spas Montecity 45-Jet, 6-Person Rotomolded Spa</t>
  </si>
  <si>
    <t>Big Green Egg Large Ceramic Grill &amp; Smoker Kit, Includes Large Ceramic Grill &amp; Smoker, Large Nest, Large ConvEGGton, Natural Lump Charcoal 17.5lb, Ash Tool, Grid Gripper, Charcoal Starters 24ct</t>
  </si>
  <si>
    <t>Valid 11/19-12/1 ONLY</t>
  </si>
  <si>
    <t>Big Green Egg XLarge Ceramic Grill &amp; Smoker Kit; Kit Includes XLarge Ceramic Grill &amp; Smoker; XLarge Nest, XLarge ConvEGGton, Natural Lump Charcoal 17.5lb, Ash Tool, Grid Gripper, Charcoal Starters 24ct</t>
  </si>
  <si>
    <t>Blackstone Iron Forged 2-Burner Outdoor Griddle</t>
  </si>
  <si>
    <t>Blackstone Iron Forged 4-Burner Outdoor Griddle</t>
  </si>
  <si>
    <t>Breeo Stainless Steel X24 Smokeless Fire Pit</t>
  </si>
  <si>
    <t>Breeo X24 Corten Smokeless Fire Pit</t>
  </si>
  <si>
    <t>Crackle Firelog, 6pk</t>
  </si>
  <si>
    <t>Evolution by Strong Spas Centurion 108-Jet, 6-Person Double-Lounger Acrylic Spa</t>
  </si>
  <si>
    <t>Football Inflates</t>
  </si>
  <si>
    <t>Generac 9200W Running/11250W Peak Gasoline-Powered Generator with COsense Technology</t>
  </si>
  <si>
    <t>Gozney ARC XL 21" Outdoor Pizza Oven</t>
  </si>
  <si>
    <t>November 19-December 1 ONLY</t>
  </si>
  <si>
    <t>Homedics Portable Indoor Steam Sauna</t>
  </si>
  <si>
    <t>Java Log Coffee Firelog 4HR, 4pk</t>
  </si>
  <si>
    <t>NAVEE Electric Scooter, Select Styles</t>
  </si>
  <si>
    <t>Owala FreeSip Water Bottle, 24oz</t>
  </si>
  <si>
    <t>Owala FreeSip Water Bottle, 32oz</t>
  </si>
  <si>
    <t>Pickleball Equipment</t>
  </si>
  <si>
    <t>Pine Mountain 3HR Fire Log</t>
  </si>
  <si>
    <t>Solo Stove Bonfire 19.5" Wood Fire Pit</t>
  </si>
  <si>
    <t>Sportspower Bounce Pro 14' Round Trampoline with Safety Enclosure</t>
  </si>
  <si>
    <t>Stanley AeroLight Transit Bottle, 20oz</t>
  </si>
  <si>
    <t>Stanley Quencher H2.0 FlowState Tumbler, 30oz</t>
  </si>
  <si>
    <t>Thomasville Dillard Convertible Outdoor Patio Sofa</t>
  </si>
  <si>
    <t>Thomasville Walsen Sectional with Storage Ottoman</t>
  </si>
  <si>
    <t>Traeger Ironwood 835 Wood Pellet Grill</t>
  </si>
  <si>
    <t>November 19 - December 24; Free Assembly &amp; Delivery on Grills $399 and Up</t>
  </si>
  <si>
    <t>Traeger Pro 34 Wood Pellet Grill</t>
  </si>
  <si>
    <t>November 19-December 24 ONLY; Free Assembly &amp; Delivery on Grills $399 and Up</t>
  </si>
  <si>
    <t>Traeger Woodridge Pro Wood Pellet Grill</t>
  </si>
  <si>
    <t>Weber Genesis E-315 Gas Grill</t>
  </si>
  <si>
    <t>November 1-December 1; Free Assembly &amp; Delivery on Grills $399 and Up</t>
  </si>
  <si>
    <t>Weber Genesis SA-E-325 Gas Grill</t>
  </si>
  <si>
    <t>Weber Genesis SP-S-325 Staainless Steel Gas Grill</t>
  </si>
  <si>
    <t>Weber Searwood 600 Wood Pellet Grill</t>
  </si>
  <si>
    <t>Weber Slate 30" Rust-Resistant Griddle, Includes WEber Works 2pc Transport Caddy &amp; Swing-Up Shelf</t>
  </si>
  <si>
    <t>FREE Assembly &amp; Delivery on Grills; November 1-December 1</t>
  </si>
  <si>
    <t>Weber Smoque XL Wood Pellet Grill</t>
  </si>
  <si>
    <t>Weber Spirit 300 Series Carbon Steel Griddle Insert</t>
  </si>
  <si>
    <t>YETI Roadie 15 Hard Cooler, Assorted Colors</t>
  </si>
  <si>
    <t>YETI Roadie 24 Hard Cooler</t>
  </si>
  <si>
    <t>YETI Roadie 32 Hard Cooler, Assorted Colors</t>
  </si>
  <si>
    <t>Save $100 Ace Rewards Exclusive; November 1-December 1</t>
  </si>
  <si>
    <t>Yukon 27" Wood Fire Pit</t>
  </si>
  <si>
    <t>Holiday</t>
  </si>
  <si>
    <t>12' Home Accents Holiday LED Pre-Lit Jackson Noble Fir Artificial Christmas Tree</t>
  </si>
  <si>
    <t>Exclusive; 11/6-11/26; Online Only</t>
  </si>
  <si>
    <t>24" Home Accents Holiday Artificial Holiday Wreath with Bow</t>
  </si>
  <si>
    <t>4' Prelit Color-Changing LED Mixed Pine Potted Tree</t>
  </si>
  <si>
    <t>5' Pop-Up Color-Changing LED Tree</t>
  </si>
  <si>
    <t>5' Prelit Color-Chaging LED Slim Diamond Entrance Tree</t>
  </si>
  <si>
    <t>5' Prelit Color-Changing LED Flocked Slim Diamond Entrance Tree</t>
  </si>
  <si>
    <t>50' Home Accents Holiday Artificial Holiday Greenery</t>
  </si>
  <si>
    <t>6.5' Home Accents Holiday LED Pre-Lit Festive Pine Artificial Christmas Tree</t>
  </si>
  <si>
    <t>Exclusive; 250 Color-Changing Micro Fairy Lights, 800 Traditional Tips</t>
  </si>
  <si>
    <t>6.5' Red &amp; White LED Birch Tree</t>
  </si>
  <si>
    <t>6' Pop-Up LED Dancing Tree</t>
  </si>
  <si>
    <t>7.5' Home Accents Holiday LED Pre-Lit Nostalgic Fir Artificial Christmas Tree, 700 Color-Changing Lights, 2825 Traditional Tips</t>
  </si>
  <si>
    <t>7.5' Home Accents Holiday LED Pre-Lit Slim Jackson Noble Fir Artificial Christmas Tree</t>
  </si>
  <si>
    <t>7.5' Home Accents Holiday Quick-Set LED Pre-Lit Jackson Noble Fir Artificial Christmas Tree</t>
  </si>
  <si>
    <t>7.5' Prelit Cascading Color-Changing LED Slim Easton Spruce Tree</t>
  </si>
  <si>
    <t>7.5' Prelit Sparkle Color-Changing LED Emerald Pine Tree</t>
  </si>
  <si>
    <t>7.5' Prelit Sparkle Color-Changing LED Pencil Emerald Pine Tree</t>
  </si>
  <si>
    <t>7.5' Prelit Sparkle Color-Changing LED Tripoli Pine Tree</t>
  </si>
  <si>
    <t>9' Home Accents Holiday Kingston Artificial Garland</t>
  </si>
  <si>
    <t>9' Home Accents Holiday LED Pre-Lit Jackson Noble Fir Artificial Christmas Tree</t>
  </si>
  <si>
    <t>Artificial Trees, Select</t>
  </si>
  <si>
    <t>Up to 40% Off</t>
  </si>
  <si>
    <t>Celebrations Home LED Prelit Battery Operated Decorated Wreath, 30 in. D X 2.5 ft. L</t>
  </si>
  <si>
    <t>Celebrations Home LED Prelit Multicolored Snowy Scotch Pine Garland, 12 in. D X 9 ft. L</t>
  </si>
  <si>
    <t>Celebrations Home LED Prelit Multicolored Snowy Scotch Pine Wreath, 30 in. D</t>
  </si>
  <si>
    <t xml:space="preserve">Celebrations LED Prelit Garland, 12 in. D X 9 ft. L </t>
  </si>
  <si>
    <t>Celebrations LED Prelit Multicolored Twig Pine Bow Wreath, 30 in. D</t>
  </si>
  <si>
    <t>Celebrations LED Prelit Twig Pine Bow Garland, 12 in. D X 9 ft. L</t>
  </si>
  <si>
    <t xml:space="preserve">Celebrations LED Prelit Warm White Cascading Lights Garland, 6 ft. L </t>
  </si>
  <si>
    <t>Celebrations LED Prelit Warm White Cascading Wreath, 24 in. D</t>
  </si>
  <si>
    <t>Christmas Trees, Select Styles</t>
  </si>
  <si>
    <t>Classic LED Light Strings, 100ct, Assorted Colors and Styles</t>
  </si>
  <si>
    <t>Classic LED Light Strings, 300ct, Assorted Colors and Styles</t>
  </si>
  <si>
    <t>Govee 65" LED Lights</t>
  </si>
  <si>
    <t>Greenmade 12-Gal Storage Bin, 2pk</t>
  </si>
  <si>
    <t>Holiday Decor, Select</t>
  </si>
  <si>
    <t>Holiday for the Home Table Settings, Select Styles</t>
  </si>
  <si>
    <t>Holiday Lights, Select</t>
  </si>
  <si>
    <t>Home Accents Holiday 100-Light LED Mini Set, Available in Warm, White, or Multicolor</t>
  </si>
  <si>
    <t>Home Accents Holiday 150-Light LED Vintage Mini Set, 150ct, Multicolor or Warm White</t>
  </si>
  <si>
    <t>Home Accents Holiday 3.5' Pre-Lit Christmas Inflatable Reindeer</t>
  </si>
  <si>
    <t>Home Accents Holiday 3.5' Pre-Lit Christmas Inflatable Santa</t>
  </si>
  <si>
    <t>Home Accents Holiday 3.5' Pre-Lit Christmas Inflatable Snowman</t>
  </si>
  <si>
    <t>Home Accents Holiday 3' LED Pre-Lit Jumbo Holiday Bulb</t>
  </si>
  <si>
    <t>Exclusive; Choose Green, Red, White, Blue, or Yellow; Special Buy While Supplies Last, 11/6-11/26</t>
  </si>
  <si>
    <t>Home Accents Holiday 300-Light LED Mini Set, Available in Warm White or Multicolor</t>
  </si>
  <si>
    <t>Home Accents Holiday 5' LED Pre-Lit Reindeer with Sleigh</t>
  </si>
  <si>
    <t>Home Accents Holiday 50-Light LED Mini Set, Available in Warm, White, or Multicolor</t>
  </si>
  <si>
    <t>Home Accents Holiday 6' LED Pre-Lit Snowman with Broom</t>
  </si>
  <si>
    <t>Home Accents Holiday LED Faceted String Light, 24-Light Warm White or 25-Light Red, Green, and White</t>
  </si>
  <si>
    <t>Home Accents Holiday LED Pre-Lit Candy Canes, 3pc</t>
  </si>
  <si>
    <t>Home Accents Holiday LED Pre-Lit Collapsible Snowmen Family, 3pc</t>
  </si>
  <si>
    <t>Home Accents Holiday LED Pre-Lit Gift Box Sculpture Set, 2pc</t>
  </si>
  <si>
    <t>Home Accents Holiday LED Pre-Lit Lying Deer</t>
  </si>
  <si>
    <t>Home Accents Holiday LED Pre-Lit Spiral Tree SEt, 2pc</t>
  </si>
  <si>
    <t>Home Accents Holiday Light Clips, 75pc</t>
  </si>
  <si>
    <t>Home Accents Holiday Pre-Lit Wire Reindeer, 24.5" Doe</t>
  </si>
  <si>
    <t>Home Accents Holiday Pre-Lit Wire Reindeer, 48" Reindeer</t>
  </si>
  <si>
    <t>LED Infinity Holiday Yard Decor</t>
  </si>
  <si>
    <t xml:space="preserve">LED Starlight Burst Hanging Decor, 16" 3-in-1 </t>
  </si>
  <si>
    <t>Mohawk Home 24" x 36" Holiday Decorative Mat</t>
  </si>
  <si>
    <t>Warehouse Only; Costco December Savings; November 17-December 21, 2025; Limit 5</t>
  </si>
  <si>
    <t>Platinum LED Light Strings, 150ct, Assorted Colors and Styles</t>
  </si>
  <si>
    <t>Platinum LED Light Strings, Assorted Colors and Styles</t>
  </si>
  <si>
    <t>November 1-November 20</t>
  </si>
  <si>
    <t xml:space="preserve">Platinum Multi-Color LED Smart Programmable Light String, 50' </t>
  </si>
  <si>
    <t>Pre-Lit 3.5' Minion</t>
  </si>
  <si>
    <t xml:space="preserve">Pre-LIt 4' Grinch Inflatable </t>
  </si>
  <si>
    <t>Pre-Lit 4' Olaf Inflatable</t>
  </si>
  <si>
    <t>Prelit LED Multi-Color Mixed Garland, 9'</t>
  </si>
  <si>
    <t>Prelit LED Multi-Color Mixed Pine, 24"</t>
  </si>
  <si>
    <t>Programmable Holiday LED Curtain Light</t>
  </si>
  <si>
    <t>Threshold Greenery, Select</t>
  </si>
  <si>
    <t>Threshold Holiday Decor, Select</t>
  </si>
  <si>
    <t>Tree Collars, Select</t>
  </si>
  <si>
    <t>Tree Skirts, Select</t>
  </si>
  <si>
    <t>Tree Toppers, Select</t>
  </si>
  <si>
    <t>Jewelry</t>
  </si>
  <si>
    <t>14kt Gold Round Brilliant 0.5ctw VS2 Clarity, I Color Diamond Cross Pendant</t>
  </si>
  <si>
    <t>14kt Gold Round Brilliant 5ctw Diamond Tennis Bracelet, White and/or Yellow Gold</t>
  </si>
  <si>
    <t>14kt Princess Cut 0.73ctw VS2 Clarity, G Color Diamond, Stud Earrings</t>
  </si>
  <si>
    <t>14kt White Gold Round Brilliant 0.36ctw Diamond Stud Earrings</t>
  </si>
  <si>
    <t>14kt White Gold Round Brilliant 1.0ctw Diamond Smile Necklace</t>
  </si>
  <si>
    <t>14kt White Gold Round Brilliant 1ctw VS2 Clarity, I Coolor Diamond Earrings</t>
  </si>
  <si>
    <t>14kt White Gold Round Brilliant 2.0ctw VS2 Clarity, G Color Diamond, Eternity Band</t>
  </si>
  <si>
    <t>14kt Yellow Gold Double Rop Necklace</t>
  </si>
  <si>
    <t>14kt Yellow Gold Double Rope Bracelet</t>
  </si>
  <si>
    <t>14kt Yellow Gold Infinity Link Bracelet</t>
  </si>
  <si>
    <t>14kt Yellow Gold Mini Cuban Link Chain Necklace</t>
  </si>
  <si>
    <t>14kt Yellow Gold Oval Hoop Earrings</t>
  </si>
  <si>
    <t>14kt Yellow Gold Serpentine Bracelet</t>
  </si>
  <si>
    <t>18kt White Gold 1.3ctw VS2 Clarity G Color Diamond Halo Pendant</t>
  </si>
  <si>
    <t>18kt Yellow Gold Snake Chain Bracelet</t>
  </si>
  <si>
    <t>Online Only; Valid 12/1; Limit 5</t>
  </si>
  <si>
    <t>18kt Yellow Gold Snake Chain Necklace</t>
  </si>
  <si>
    <t>Boxed Jewelry Gifts, Select Styles</t>
  </si>
  <si>
    <t>Fine Jewelry, Select Styles</t>
  </si>
  <si>
    <t>Round Brilliant 1.5ctw VS2 Clarity, I Color Diamond Platinum Ring</t>
  </si>
  <si>
    <t>Round Brilliant 2.00ctw Diamond Band</t>
  </si>
  <si>
    <t>Round Brilliant 3ctw VS2 Clarity, I Color Diamond Platinum Wedding Set, 1.2ct Center Stone</t>
  </si>
  <si>
    <t>Round Brilliant 4.00ctw VS2 Clarity, I Color Diamond Eternity Band, Yellow Gold and/or Platinum</t>
  </si>
  <si>
    <t>Silver Fine Jewelry, Select Styles</t>
  </si>
  <si>
    <t>Personal Care</t>
  </si>
  <si>
    <t>RAZORS/TRIMMERS</t>
  </si>
  <si>
    <t>Philips Norelco 7200 Electric Razor</t>
  </si>
  <si>
    <t>HAIR STYLING TOOLS</t>
  </si>
  <si>
    <t>Beauty Tools, Select Styles</t>
  </si>
  <si>
    <t>Dyson Airwrap Multi-Styler Complete Long</t>
  </si>
  <si>
    <t>Dyson Supersonic Hair Dryer</t>
  </si>
  <si>
    <t>L'ange Hair Styler</t>
  </si>
  <si>
    <t>HEALTH &amp; BEAUTY</t>
  </si>
  <si>
    <t>18.21 Man made Styling and Finishing Products, Select</t>
  </si>
  <si>
    <t>Early Black Friday Deals Through 11/15</t>
  </si>
  <si>
    <t>Aquaphor Lip, Select</t>
  </si>
  <si>
    <t>Buy 1 Get 1 40% Off</t>
  </si>
  <si>
    <t>Brands Cannot be Combined; Early Black Friday Deals Through 11/22</t>
  </si>
  <si>
    <t>Armani Acqua di Gio Eau de Parfum</t>
  </si>
  <si>
    <t>Early Black Friday Sale November 9-15, 2025</t>
  </si>
  <si>
    <t>Beauty Devices, Select Styles</t>
  </si>
  <si>
    <t>Biolage Styling and Finishing Products, Select</t>
  </si>
  <si>
    <t>Blind Barber Styling and Finishing Products, Select</t>
  </si>
  <si>
    <t>Body Mists, Select</t>
  </si>
  <si>
    <t>Early Black Friday Sale November 16-22, 2025</t>
  </si>
  <si>
    <t>Briogeo Styling and Finishing Products, Select</t>
  </si>
  <si>
    <t>Bumble and Bumble Thickening Blow-Dry Prep Spray</t>
  </si>
  <si>
    <t>Conair Rechargeable Vanity Mirror</t>
  </si>
  <si>
    <t>dpHUE Styling and Finishing Products, Select</t>
  </si>
  <si>
    <t xml:space="preserve">Drybar, Select </t>
  </si>
  <si>
    <t>EVA NYC Styling and Finishing Products, Select</t>
  </si>
  <si>
    <t xml:space="preserve">Eye Treatments, Select </t>
  </si>
  <si>
    <t>Finishing Products, Select</t>
  </si>
  <si>
    <t xml:space="preserve">Fragrance, Select </t>
  </si>
  <si>
    <t>Up to 30% Off</t>
  </si>
  <si>
    <t xml:space="preserve">Hair Mists, Select </t>
  </si>
  <si>
    <t xml:space="preserve">Hair Tools, Select </t>
  </si>
  <si>
    <t>Joico Styling and Finishing Products, Select</t>
  </si>
  <si>
    <t>JoyBright, Select Gifting</t>
  </si>
  <si>
    <t>Buy One Get One 50% Off</t>
  </si>
  <si>
    <t>Kendra Professional Volume Spray</t>
  </si>
  <si>
    <t>Kenra Professional Volume Spray</t>
  </si>
  <si>
    <t>Keratin Complex Styling and Finishing Products, Select</t>
  </si>
  <si>
    <t>Kiehl's Since 1851 Creamy Eye Treatment with Avocado, 0.51oz</t>
  </si>
  <si>
    <t>Lancome Clarifique Collection</t>
  </si>
  <si>
    <t>Lancome La Vie Est Belle Eau de Parfum</t>
  </si>
  <si>
    <t xml:space="preserve">Makeup, Select </t>
  </si>
  <si>
    <t>Makeup, Select Products</t>
  </si>
  <si>
    <t>Mario Badescu, Entire Brand</t>
  </si>
  <si>
    <t>Matrix Styling and Finishing Products, Select</t>
  </si>
  <si>
    <t>Nexxus Styling and Finishing Products, Select</t>
  </si>
  <si>
    <t>Nioxin Styling and Finishing Products, Select</t>
  </si>
  <si>
    <t>No7 Skincare, Select</t>
  </si>
  <si>
    <t>Brands Cannot be Combined; Excludes Kits; Early Black Friday Deals Through 11/22</t>
  </si>
  <si>
    <t>OGX Styling and Finishing Products, Select</t>
  </si>
  <si>
    <t>OLEHENRIKSEN Banana Bright+ Vitamin C Eye Creme for Dark Circles</t>
  </si>
  <si>
    <t>Origins Ginzing Brightening Eye Cream</t>
  </si>
  <si>
    <t>Paul Mitchell Styling and Finishing Products, Select</t>
  </si>
  <si>
    <t>Peach &amp; Lily Pure Radiance Brightening Eye Cream</t>
  </si>
  <si>
    <t>Peter Thomas Roth Instant FIRMx Eye Temporary Eye Tightener, 1oz</t>
  </si>
  <si>
    <t>Ralph Lauren Romance Eau de Parfum Intense</t>
  </si>
  <si>
    <t>Redken Styling and Finishing Products, Select</t>
  </si>
  <si>
    <t>Sebastian Styling and Finishing Products, Select</t>
  </si>
  <si>
    <t>Sexy Hair Styling and Finishing Products, Select</t>
  </si>
  <si>
    <t>Sharper Image Massage, Select Styles</t>
  </si>
  <si>
    <t>Skin Care, Select Products</t>
  </si>
  <si>
    <t>Early Black Friday Sale November 2-22, 2025</t>
  </si>
  <si>
    <t>StriVectin Super-C Eye Vitamin C Cream</t>
  </si>
  <si>
    <t>Styling Products, Select</t>
  </si>
  <si>
    <t>Suncare, Select</t>
  </si>
  <si>
    <t>TULA 'Spresso Energizing Eye Balm</t>
  </si>
  <si>
    <t>TULA Glow &amp; Get It Cooling &amp; Brightening Eye Balm</t>
  </si>
  <si>
    <t>Vanicream Skincare, Select</t>
  </si>
  <si>
    <t>Verb Styling and Finishing Products, Select</t>
  </si>
  <si>
    <t>Wella Styling and Finishing Products, Select</t>
  </si>
  <si>
    <t>Baby</t>
  </si>
  <si>
    <t>Baby Toiletries, Select</t>
  </si>
  <si>
    <t>Disney Baby Toys</t>
  </si>
  <si>
    <t>25% Off</t>
  </si>
  <si>
    <t>Owlet Dream Sock Baby Monitor</t>
  </si>
  <si>
    <t>$50 Gift Card with Purchase</t>
  </si>
  <si>
    <t>Toys</t>
  </si>
  <si>
    <t>2025 MLB Holiday Baseball Mega Box Collectible Trading Cards</t>
  </si>
  <si>
    <t>2025 MLB Topps Holiday Tin Collectible Trading Cards</t>
  </si>
  <si>
    <t>Barbie Family &amp; Pet Playsets</t>
  </si>
  <si>
    <t>Barbie Malibu Travel Playset</t>
  </si>
  <si>
    <t>Barbie Toys, Select Styles</t>
  </si>
  <si>
    <t>Cra-z-Slimy Slime Bucket</t>
  </si>
  <si>
    <t>Disney Kids Toys</t>
  </si>
  <si>
    <t>25% off</t>
  </si>
  <si>
    <t>Disney Princess Dolls, Select Styles</t>
  </si>
  <si>
    <t>Disney Princess Toys, Select Styles</t>
  </si>
  <si>
    <t>Fisher-Price Toys, Select Styles</t>
  </si>
  <si>
    <t>Fluffy Cloudz Slime, 12 Colors</t>
  </si>
  <si>
    <t>Target Exclusive; November 9-15</t>
  </si>
  <si>
    <t>Ford F24V Ride-On</t>
  </si>
  <si>
    <t>Games, Select Styles</t>
  </si>
  <si>
    <t>Hasbro Family Games</t>
  </si>
  <si>
    <t>Hot Wheels Mario Kart Set</t>
  </si>
  <si>
    <t>Hot Wheels Toys, Select Styles</t>
  </si>
  <si>
    <t>Hover &amp; Cruise FantastiCar &amp; The Thing Figure</t>
  </si>
  <si>
    <t>Lego Building Sets, Select Styles</t>
  </si>
  <si>
    <t>LEGO Marvel Fantastic Four vs Galactus Construction Figure</t>
  </si>
  <si>
    <t>Lego Sets, Select</t>
  </si>
  <si>
    <t>Lego Speed Champions, 2pk</t>
  </si>
  <si>
    <t>Marvel's First Family Collection Multipack Figures</t>
  </si>
  <si>
    <t>Marvel's The Thing Clobberin' FX Fists</t>
  </si>
  <si>
    <t>Melissa &amp; Doug Chunky Puzzles</t>
  </si>
  <si>
    <t>Melissa &amp; Doug Toys, Select Styles</t>
  </si>
  <si>
    <t>Puzzles, Select Styles</t>
  </si>
  <si>
    <t>Sesame Street Figurine Set</t>
  </si>
  <si>
    <t>Step2 Toys, Select Styles</t>
  </si>
  <si>
    <t>Titan Hero Series Galactus Figure</t>
  </si>
  <si>
    <t>Tonies Toniebox 1 Starter Sets, Select Styles</t>
  </si>
  <si>
    <t>Tonies Toniebox 2 Starter Sets, Select Styles</t>
  </si>
  <si>
    <t>Toys, Select Styles</t>
  </si>
  <si>
    <t>Vivitar Large Drone with Wi-Fi, Select Styles</t>
  </si>
  <si>
    <t>XSHOT Insanity! Motorized Toy Dart Blaster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</si>
</sst>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u/>
      <sz val="17.0"/>
      <color rgb="FFFF0000"/>
      <name val="Arial"/>
    </font>
    <font>
      <b/>
      <i/>
      <color theme="1"/>
      <name val="Arial"/>
    </font>
    <font>
      <u/>
      <color rgb="FF0000FF"/>
      <name val="Arial"/>
    </font>
    <font>
      <u/>
      <color rgb="FF0000FF"/>
      <name val="Arial"/>
    </font>
    <font>
      <i/>
      <color theme="1"/>
      <name val="Arial"/>
    </font>
    <font>
      <i/>
      <sz val="11.0"/>
      <color theme="1"/>
      <name val="Arial"/>
    </font>
    <font>
      <b/>
      <sz val="17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4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6.63"/>
    <col customWidth="1" min="2" max="2" width="20.75"/>
    <col customWidth="1" min="3" max="3" width="13.75"/>
  </cols>
  <sheetData>
    <row r="1">
      <c r="A1" s="1"/>
      <c r="B1" s="2" t="s">
        <v>0</v>
      </c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3</v>
      </c>
      <c r="B2" s="7"/>
      <c r="C2" s="1"/>
      <c r="D2" s="1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8" t="s">
        <v>4</v>
      </c>
      <c r="B3" s="7"/>
      <c r="C3" s="1"/>
      <c r="D3" s="1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7"/>
      <c r="C4" s="1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5</v>
      </c>
      <c r="B5" s="7"/>
      <c r="C5" s="1"/>
      <c r="D5" s="1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"/>
      <c r="B6" s="7"/>
      <c r="C6" s="1"/>
      <c r="D6" s="1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9" t="s">
        <v>6</v>
      </c>
      <c r="B7" s="7"/>
      <c r="C7" s="10"/>
      <c r="D7" s="10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0" t="s">
        <v>7</v>
      </c>
      <c r="B8" s="11" t="s">
        <v>8</v>
      </c>
      <c r="C8" s="12" t="str">
        <f>HYPERLINK("https://shopstyle.it/l/ch41b","Target")</f>
        <v>Target</v>
      </c>
      <c r="D8" s="10" t="s">
        <v>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0" t="s">
        <v>10</v>
      </c>
      <c r="B9" s="11">
        <v>148.99</v>
      </c>
      <c r="C9" s="12" t="str">
        <f>HYPERLINK("https://costco.com","Costco")</f>
        <v>Costco</v>
      </c>
      <c r="D9" s="10" t="s">
        <v>11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" t="s">
        <v>12</v>
      </c>
      <c r="B10" s="11">
        <v>249.99</v>
      </c>
      <c r="C10" s="13" t="str">
        <f>HYPERLINK("https://shopstyle.it/l/ch41b","Target")</f>
        <v>Target</v>
      </c>
      <c r="D10" s="1" t="s">
        <v>9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0" t="s">
        <v>13</v>
      </c>
      <c r="B11" s="11">
        <v>1349.99</v>
      </c>
      <c r="C11" s="13" t="str">
        <f t="shared" ref="C11:C40" si="1">HYPERLINK("https://costco.com","Costco")</f>
        <v>Costco</v>
      </c>
      <c r="D11" s="1" t="s">
        <v>14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0" t="s">
        <v>15</v>
      </c>
      <c r="B12" s="11">
        <v>1549.99</v>
      </c>
      <c r="C12" s="13" t="str">
        <f t="shared" si="1"/>
        <v>Costco</v>
      </c>
      <c r="D12" s="10" t="s">
        <v>14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0" t="s">
        <v>16</v>
      </c>
      <c r="B13" s="11">
        <v>1749.99</v>
      </c>
      <c r="C13" s="12" t="str">
        <f t="shared" si="1"/>
        <v>Costco</v>
      </c>
      <c r="D13" s="10" t="s">
        <v>14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0" t="s">
        <v>17</v>
      </c>
      <c r="B14" s="11">
        <v>1149.99</v>
      </c>
      <c r="C14" s="13" t="str">
        <f t="shared" si="1"/>
        <v>Costco</v>
      </c>
      <c r="D14" s="10" t="s">
        <v>11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0" t="s">
        <v>18</v>
      </c>
      <c r="B15" s="11">
        <v>1349.99</v>
      </c>
      <c r="C15" s="13" t="str">
        <f t="shared" si="1"/>
        <v>Costco</v>
      </c>
      <c r="D15" s="10" t="s">
        <v>14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0" t="s">
        <v>19</v>
      </c>
      <c r="B16" s="11">
        <v>749.99</v>
      </c>
      <c r="C16" s="13" t="str">
        <f t="shared" si="1"/>
        <v>Costco</v>
      </c>
      <c r="D16" s="10" t="s">
        <v>11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0" t="s">
        <v>20</v>
      </c>
      <c r="B17" s="11">
        <v>949.0</v>
      </c>
      <c r="C17" s="12" t="str">
        <f t="shared" si="1"/>
        <v>Costco</v>
      </c>
      <c r="D17" s="10" t="s">
        <v>14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0" t="s">
        <v>21</v>
      </c>
      <c r="B18" s="11">
        <v>1049.99</v>
      </c>
      <c r="C18" s="12" t="str">
        <f t="shared" si="1"/>
        <v>Costco</v>
      </c>
      <c r="D18" s="10" t="s">
        <v>11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0" t="s">
        <v>22</v>
      </c>
      <c r="B19" s="11">
        <v>689.99</v>
      </c>
      <c r="C19" s="13" t="str">
        <f t="shared" si="1"/>
        <v>Costco</v>
      </c>
      <c r="D19" s="10" t="s">
        <v>14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0" t="s">
        <v>23</v>
      </c>
      <c r="B20" s="11">
        <v>1269.99</v>
      </c>
      <c r="C20" s="12" t="str">
        <f t="shared" si="1"/>
        <v>Costco</v>
      </c>
      <c r="D20" s="10" t="s">
        <v>14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0" t="s">
        <v>24</v>
      </c>
      <c r="B21" s="11">
        <v>499.99</v>
      </c>
      <c r="C21" s="12" t="str">
        <f t="shared" si="1"/>
        <v>Costco</v>
      </c>
      <c r="D21" s="10" t="s">
        <v>11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0" t="s">
        <v>25</v>
      </c>
      <c r="B22" s="11">
        <v>889.99</v>
      </c>
      <c r="C22" s="12" t="str">
        <f t="shared" si="1"/>
        <v>Costco</v>
      </c>
      <c r="D22" s="10" t="s">
        <v>14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0" t="s">
        <v>26</v>
      </c>
      <c r="B23" s="11">
        <v>3599.99</v>
      </c>
      <c r="C23" s="12" t="str">
        <f t="shared" si="1"/>
        <v>Costco</v>
      </c>
      <c r="D23" s="10" t="s">
        <v>14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0" t="s">
        <v>27</v>
      </c>
      <c r="B24" s="11">
        <v>1799.99</v>
      </c>
      <c r="C24" s="12" t="str">
        <f t="shared" si="1"/>
        <v>Costco</v>
      </c>
      <c r="D24" s="10" t="s">
        <v>14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0" t="s">
        <v>28</v>
      </c>
      <c r="B25" s="11">
        <v>949.99</v>
      </c>
      <c r="C25" s="12" t="str">
        <f t="shared" si="1"/>
        <v>Costco</v>
      </c>
      <c r="D25" s="10" t="s">
        <v>11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0" t="s">
        <v>29</v>
      </c>
      <c r="B26" s="11">
        <v>749.99</v>
      </c>
      <c r="C26" s="12" t="str">
        <f t="shared" si="1"/>
        <v>Costco</v>
      </c>
      <c r="D26" s="10" t="s">
        <v>11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0" t="s">
        <v>30</v>
      </c>
      <c r="B27" s="11">
        <v>1149.99</v>
      </c>
      <c r="C27" s="12" t="str">
        <f t="shared" si="1"/>
        <v>Costco</v>
      </c>
      <c r="D27" s="10" t="s">
        <v>14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0" t="s">
        <v>31</v>
      </c>
      <c r="B28" s="11">
        <v>1349.99</v>
      </c>
      <c r="C28" s="12" t="str">
        <f t="shared" si="1"/>
        <v>Costco</v>
      </c>
      <c r="D28" s="10" t="s">
        <v>14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0" t="s">
        <v>32</v>
      </c>
      <c r="B29" s="11">
        <v>949.0</v>
      </c>
      <c r="C29" s="12" t="str">
        <f t="shared" si="1"/>
        <v>Costco</v>
      </c>
      <c r="D29" s="10" t="s">
        <v>11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0" t="s">
        <v>33</v>
      </c>
      <c r="B30" s="11">
        <v>1149.99</v>
      </c>
      <c r="C30" s="12" t="str">
        <f t="shared" si="1"/>
        <v>Costco</v>
      </c>
      <c r="D30" s="10" t="s">
        <v>11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0" t="s">
        <v>34</v>
      </c>
      <c r="B31" s="11">
        <v>1549.99</v>
      </c>
      <c r="C31" s="12" t="str">
        <f t="shared" si="1"/>
        <v>Costco</v>
      </c>
      <c r="D31" s="10" t="s">
        <v>14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0" t="s">
        <v>35</v>
      </c>
      <c r="B32" s="11">
        <v>1349.99</v>
      </c>
      <c r="C32" s="12" t="str">
        <f t="shared" si="1"/>
        <v>Costco</v>
      </c>
      <c r="D32" s="10" t="s">
        <v>11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0" t="s">
        <v>36</v>
      </c>
      <c r="B33" s="11">
        <v>2849.99</v>
      </c>
      <c r="C33" s="12" t="str">
        <f t="shared" si="1"/>
        <v>Costco</v>
      </c>
      <c r="D33" s="10" t="s">
        <v>14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0" t="s">
        <v>37</v>
      </c>
      <c r="B34" s="11">
        <v>1749.99</v>
      </c>
      <c r="C34" s="12" t="str">
        <f t="shared" si="1"/>
        <v>Costco</v>
      </c>
      <c r="D34" s="10" t="s">
        <v>11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0" t="s">
        <v>38</v>
      </c>
      <c r="B35" s="11">
        <v>2099.99</v>
      </c>
      <c r="C35" s="12" t="str">
        <f t="shared" si="1"/>
        <v>Costco</v>
      </c>
      <c r="D35" s="10" t="s">
        <v>14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0" t="s">
        <v>39</v>
      </c>
      <c r="B36" s="11">
        <v>3549.99</v>
      </c>
      <c r="C36" s="12" t="str">
        <f t="shared" si="1"/>
        <v>Costco</v>
      </c>
      <c r="D36" s="10" t="s">
        <v>14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0" t="s">
        <v>40</v>
      </c>
      <c r="B37" s="11">
        <v>2199.99</v>
      </c>
      <c r="C37" s="12" t="str">
        <f t="shared" si="1"/>
        <v>Costco</v>
      </c>
      <c r="D37" s="10" t="s">
        <v>11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0" t="s">
        <v>41</v>
      </c>
      <c r="B38" s="11">
        <v>2549.99</v>
      </c>
      <c r="C38" s="12" t="str">
        <f t="shared" si="1"/>
        <v>Costco</v>
      </c>
      <c r="D38" s="10" t="s">
        <v>14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0" t="s">
        <v>42</v>
      </c>
      <c r="B39" s="11">
        <v>3099.99</v>
      </c>
      <c r="C39" s="12" t="str">
        <f t="shared" si="1"/>
        <v>Costco</v>
      </c>
      <c r="D39" s="10" t="s">
        <v>14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0" t="s">
        <v>43</v>
      </c>
      <c r="B40" s="11">
        <v>199.99</v>
      </c>
      <c r="C40" s="12" t="str">
        <f t="shared" si="1"/>
        <v>Costco</v>
      </c>
      <c r="D40" s="10" t="s">
        <v>11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0" t="s">
        <v>44</v>
      </c>
      <c r="B41" s="11" t="s">
        <v>45</v>
      </c>
      <c r="C41" s="12" t="str">
        <f>HYPERLINK("https://shopstyle.it/l/ch41b","Target")</f>
        <v>Target</v>
      </c>
      <c r="D41" s="10" t="s">
        <v>9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0" t="s">
        <v>46</v>
      </c>
      <c r="B42" s="11">
        <v>229.99</v>
      </c>
      <c r="C42" s="12" t="str">
        <f>HYPERLINK("https://costco.com","Costco")</f>
        <v>Costco</v>
      </c>
      <c r="D42" s="10" t="s">
        <v>14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0" t="s">
        <v>47</v>
      </c>
      <c r="B43" s="11" t="s">
        <v>48</v>
      </c>
      <c r="C43" s="12" t="str">
        <f>HYPERLINK("https://shopstyle.it/l/ch41b","Target")</f>
        <v>Target</v>
      </c>
      <c r="D43" s="10" t="s">
        <v>9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0" t="s">
        <v>49</v>
      </c>
      <c r="B44" s="11">
        <v>699.99</v>
      </c>
      <c r="C44" s="12" t="str">
        <f t="shared" ref="C44:C46" si="2">HYPERLINK("https://costco.com","Costco")</f>
        <v>Costco</v>
      </c>
      <c r="D44" s="10" t="s">
        <v>11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0" t="s">
        <v>50</v>
      </c>
      <c r="B45" s="11">
        <v>799.99</v>
      </c>
      <c r="C45" s="12" t="str">
        <f t="shared" si="2"/>
        <v>Costco</v>
      </c>
      <c r="D45" s="10" t="s">
        <v>14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0" t="s">
        <v>51</v>
      </c>
      <c r="B46" s="11">
        <v>699.99</v>
      </c>
      <c r="C46" s="12" t="str">
        <f t="shared" si="2"/>
        <v>Costco</v>
      </c>
      <c r="D46" s="10" t="s">
        <v>14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0"/>
      <c r="B47" s="7"/>
      <c r="C47" s="10"/>
      <c r="D47" s="10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9" t="s">
        <v>52</v>
      </c>
      <c r="B48" s="7"/>
      <c r="C48" s="10"/>
      <c r="D48" s="10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0" t="s">
        <v>53</v>
      </c>
      <c r="B49" s="11" t="s">
        <v>54</v>
      </c>
      <c r="C49" s="12" t="str">
        <f t="shared" ref="C49:C50" si="3">HYPERLINK("https://shopstyle.it/l/ch41Y","Kohl's")</f>
        <v>Kohl's</v>
      </c>
      <c r="D49" s="14" t="s">
        <v>55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0" t="s">
        <v>56</v>
      </c>
      <c r="B50" s="11" t="s">
        <v>54</v>
      </c>
      <c r="C50" s="12" t="str">
        <f t="shared" si="3"/>
        <v>Kohl's</v>
      </c>
      <c r="D50" s="14" t="s">
        <v>55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0" t="s">
        <v>57</v>
      </c>
      <c r="B51" s="11" t="s">
        <v>58</v>
      </c>
      <c r="C51" s="12" t="str">
        <f>HYPERLINK("https://shopstyle.it/l/ch41b","Target")</f>
        <v>Target</v>
      </c>
      <c r="D51" s="10" t="s">
        <v>9</v>
      </c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0"/>
      <c r="B52" s="7"/>
      <c r="C52" s="10"/>
      <c r="D52" s="10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9" t="s">
        <v>59</v>
      </c>
      <c r="B53" s="7"/>
      <c r="C53" s="10"/>
      <c r="D53" s="10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0" t="s">
        <v>60</v>
      </c>
      <c r="B54" s="11">
        <v>359.99</v>
      </c>
      <c r="C54" s="12" t="str">
        <f>HYPERLINK("https://costco.com","Costco")</f>
        <v>Costco</v>
      </c>
      <c r="D54" s="10" t="s">
        <v>61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0"/>
      <c r="B55" s="7"/>
      <c r="C55" s="10"/>
      <c r="D55" s="10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9" t="s">
        <v>62</v>
      </c>
      <c r="B56" s="7"/>
      <c r="C56" s="10"/>
      <c r="D56" s="10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0" t="s">
        <v>63</v>
      </c>
      <c r="B57" s="11">
        <v>79.99</v>
      </c>
      <c r="C57" s="12" t="str">
        <f t="shared" ref="C57:C67" si="4">HYPERLINK("https://costco.com","Costco")</f>
        <v>Costco</v>
      </c>
      <c r="D57" s="10" t="s">
        <v>64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0" t="s">
        <v>65</v>
      </c>
      <c r="B58" s="11">
        <v>429.99</v>
      </c>
      <c r="C58" s="12" t="str">
        <f t="shared" si="4"/>
        <v>Costco</v>
      </c>
      <c r="D58" s="10" t="s">
        <v>66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0" t="s">
        <v>67</v>
      </c>
      <c r="B59" s="11">
        <v>159.99</v>
      </c>
      <c r="C59" s="12" t="str">
        <f t="shared" si="4"/>
        <v>Costco</v>
      </c>
      <c r="D59" s="10" t="s">
        <v>68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0" t="s">
        <v>69</v>
      </c>
      <c r="B60" s="11">
        <v>499.99</v>
      </c>
      <c r="C60" s="12" t="str">
        <f t="shared" si="4"/>
        <v>Costco</v>
      </c>
      <c r="D60" s="10" t="s">
        <v>70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0" t="s">
        <v>71</v>
      </c>
      <c r="B61" s="11">
        <v>89.99</v>
      </c>
      <c r="C61" s="12" t="str">
        <f t="shared" si="4"/>
        <v>Costco</v>
      </c>
      <c r="D61" s="10" t="s">
        <v>70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0" t="s">
        <v>72</v>
      </c>
      <c r="B62" s="11">
        <v>379.99</v>
      </c>
      <c r="C62" s="12" t="str">
        <f t="shared" si="4"/>
        <v>Costco</v>
      </c>
      <c r="D62" s="10" t="s">
        <v>66</v>
      </c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0" t="s">
        <v>73</v>
      </c>
      <c r="B63" s="11">
        <v>149.99</v>
      </c>
      <c r="C63" s="12" t="str">
        <f t="shared" si="4"/>
        <v>Costco</v>
      </c>
      <c r="D63" s="10" t="s">
        <v>74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0" t="s">
        <v>75</v>
      </c>
      <c r="B64" s="11">
        <v>929.99</v>
      </c>
      <c r="C64" s="12" t="str">
        <f t="shared" si="4"/>
        <v>Costco</v>
      </c>
      <c r="D64" s="10" t="s">
        <v>70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0" t="s">
        <v>76</v>
      </c>
      <c r="B65" s="11">
        <v>189.99</v>
      </c>
      <c r="C65" s="12" t="str">
        <f t="shared" si="4"/>
        <v>Costco</v>
      </c>
      <c r="D65" s="10" t="s">
        <v>61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0" t="s">
        <v>77</v>
      </c>
      <c r="B66" s="11">
        <v>249.99</v>
      </c>
      <c r="C66" s="12" t="str">
        <f t="shared" si="4"/>
        <v>Costco</v>
      </c>
      <c r="D66" s="10" t="s">
        <v>61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0" t="s">
        <v>78</v>
      </c>
      <c r="B67" s="11">
        <v>749.99</v>
      </c>
      <c r="C67" s="12" t="str">
        <f t="shared" si="4"/>
        <v>Costco</v>
      </c>
      <c r="D67" s="10" t="s">
        <v>79</v>
      </c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0"/>
      <c r="B68" s="7"/>
      <c r="C68" s="10"/>
      <c r="D68" s="10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9" t="s">
        <v>80</v>
      </c>
      <c r="B69" s="7"/>
      <c r="C69" s="10"/>
      <c r="D69" s="10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0" t="s">
        <v>81</v>
      </c>
      <c r="B70" s="11">
        <v>49.99</v>
      </c>
      <c r="C70" s="12" t="str">
        <f>HYPERLINK("https://shopstyle.it/l/ch41b","Target")</f>
        <v>Target</v>
      </c>
      <c r="D70" s="10" t="s">
        <v>82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0" t="s">
        <v>83</v>
      </c>
      <c r="B71" s="7"/>
      <c r="C71" s="10"/>
      <c r="D71" s="10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9" t="s">
        <v>84</v>
      </c>
      <c r="B72" s="7"/>
      <c r="C72" s="10"/>
      <c r="D72" s="10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0" t="s">
        <v>85</v>
      </c>
      <c r="B73" s="11">
        <v>849.99</v>
      </c>
      <c r="C73" s="12" t="str">
        <f t="shared" ref="C73:C78" si="5">HYPERLINK("https://costco.com","Costco")</f>
        <v>Costco</v>
      </c>
      <c r="D73" s="10" t="s">
        <v>86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0" t="s">
        <v>87</v>
      </c>
      <c r="B74" s="11">
        <v>699.99</v>
      </c>
      <c r="C74" s="12" t="str">
        <f t="shared" si="5"/>
        <v>Costco</v>
      </c>
      <c r="D74" s="10" t="s">
        <v>11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0" t="s">
        <v>88</v>
      </c>
      <c r="B75" s="11">
        <v>2199.99</v>
      </c>
      <c r="C75" s="12" t="str">
        <f t="shared" si="5"/>
        <v>Costco</v>
      </c>
      <c r="D75" s="10" t="s">
        <v>89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0" t="s">
        <v>90</v>
      </c>
      <c r="B76" s="11">
        <v>1999.99</v>
      </c>
      <c r="C76" s="12" t="str">
        <f t="shared" si="5"/>
        <v>Costco</v>
      </c>
      <c r="D76" s="10" t="s">
        <v>91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0" t="s">
        <v>92</v>
      </c>
      <c r="B77" s="11">
        <v>999.99</v>
      </c>
      <c r="C77" s="12" t="str">
        <f t="shared" si="5"/>
        <v>Costco</v>
      </c>
      <c r="D77" s="10" t="s">
        <v>91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0" t="s">
        <v>93</v>
      </c>
      <c r="B78" s="11">
        <v>1199.99</v>
      </c>
      <c r="C78" s="12" t="str">
        <f t="shared" si="5"/>
        <v>Costco</v>
      </c>
      <c r="D78" s="10" t="s">
        <v>11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0"/>
      <c r="B79" s="7"/>
      <c r="C79" s="10"/>
      <c r="D79" s="10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9" t="s">
        <v>94</v>
      </c>
      <c r="B80" s="7"/>
      <c r="C80" s="10"/>
      <c r="D80" s="10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0" t="s">
        <v>83</v>
      </c>
      <c r="B81" s="7"/>
      <c r="C81" s="10"/>
      <c r="D81" s="10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9" t="s">
        <v>95</v>
      </c>
      <c r="B82" s="7"/>
      <c r="C82" s="10"/>
      <c r="D82" s="10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0" t="s">
        <v>96</v>
      </c>
      <c r="B83" s="11">
        <v>699.99</v>
      </c>
      <c r="C83" s="12" t="str">
        <f t="shared" ref="C83:C98" si="6">HYPERLINK("https://costco.com","Costco")</f>
        <v>Costco</v>
      </c>
      <c r="D83" s="10" t="s">
        <v>66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0" t="s">
        <v>97</v>
      </c>
      <c r="B84" s="11">
        <v>449.99</v>
      </c>
      <c r="C84" s="12" t="str">
        <f t="shared" si="6"/>
        <v>Costco</v>
      </c>
      <c r="D84" s="10" t="s">
        <v>11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0" t="s">
        <v>98</v>
      </c>
      <c r="B85" s="11">
        <v>399.99</v>
      </c>
      <c r="C85" s="12" t="str">
        <f t="shared" si="6"/>
        <v>Costco</v>
      </c>
      <c r="D85" s="10" t="s">
        <v>61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0" t="s">
        <v>99</v>
      </c>
      <c r="B86" s="11">
        <v>399.99</v>
      </c>
      <c r="C86" s="12" t="str">
        <f t="shared" si="6"/>
        <v>Costco</v>
      </c>
      <c r="D86" s="10" t="s">
        <v>100</v>
      </c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0" t="s">
        <v>101</v>
      </c>
      <c r="B87" s="11">
        <v>599.99</v>
      </c>
      <c r="C87" s="12" t="str">
        <f t="shared" si="6"/>
        <v>Costco</v>
      </c>
      <c r="D87" s="10" t="s">
        <v>102</v>
      </c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0" t="s">
        <v>103</v>
      </c>
      <c r="B88" s="11">
        <v>999.99</v>
      </c>
      <c r="C88" s="12" t="str">
        <f t="shared" si="6"/>
        <v>Costco</v>
      </c>
      <c r="D88" s="10" t="s">
        <v>70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0" t="s">
        <v>104</v>
      </c>
      <c r="B89" s="11">
        <v>599.99</v>
      </c>
      <c r="C89" s="12" t="str">
        <f t="shared" si="6"/>
        <v>Costco</v>
      </c>
      <c r="D89" s="10" t="s">
        <v>105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0" t="s">
        <v>106</v>
      </c>
      <c r="B90" s="11">
        <v>449.99</v>
      </c>
      <c r="C90" s="12" t="str">
        <f t="shared" si="6"/>
        <v>Costco</v>
      </c>
      <c r="D90" s="10" t="s">
        <v>66</v>
      </c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0" t="s">
        <v>107</v>
      </c>
      <c r="B91" s="11">
        <v>549.99</v>
      </c>
      <c r="C91" s="12" t="str">
        <f t="shared" si="6"/>
        <v>Costco</v>
      </c>
      <c r="D91" s="10" t="s">
        <v>11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0" t="s">
        <v>108</v>
      </c>
      <c r="B92" s="11">
        <v>1399.99</v>
      </c>
      <c r="C92" s="12" t="str">
        <f t="shared" si="6"/>
        <v>Costco</v>
      </c>
      <c r="D92" s="10" t="s">
        <v>66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0" t="s">
        <v>109</v>
      </c>
      <c r="B93" s="11">
        <v>899.99</v>
      </c>
      <c r="C93" s="12" t="str">
        <f t="shared" si="6"/>
        <v>Costco</v>
      </c>
      <c r="D93" s="10" t="s">
        <v>110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0" t="s">
        <v>111</v>
      </c>
      <c r="B94" s="11">
        <v>549.99</v>
      </c>
      <c r="C94" s="12" t="str">
        <f t="shared" si="6"/>
        <v>Costco</v>
      </c>
      <c r="D94" s="10" t="s">
        <v>11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0" t="s">
        <v>112</v>
      </c>
      <c r="B95" s="11">
        <v>499.99</v>
      </c>
      <c r="C95" s="12" t="str">
        <f t="shared" si="6"/>
        <v>Costco</v>
      </c>
      <c r="D95" s="10" t="s">
        <v>70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0" t="s">
        <v>113</v>
      </c>
      <c r="B96" s="11">
        <v>999.99</v>
      </c>
      <c r="C96" s="12" t="str">
        <f t="shared" si="6"/>
        <v>Costco</v>
      </c>
      <c r="D96" s="10" t="s">
        <v>100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0" t="s">
        <v>114</v>
      </c>
      <c r="B97" s="11">
        <v>1199.99</v>
      </c>
      <c r="C97" s="12" t="str">
        <f t="shared" si="6"/>
        <v>Costco</v>
      </c>
      <c r="D97" s="10" t="s">
        <v>70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0" t="s">
        <v>115</v>
      </c>
      <c r="B98" s="11" t="s">
        <v>116</v>
      </c>
      <c r="C98" s="12" t="str">
        <f t="shared" si="6"/>
        <v>Costco</v>
      </c>
      <c r="D98" s="10" t="s">
        <v>11</v>
      </c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0"/>
      <c r="B99" s="7"/>
      <c r="C99" s="10"/>
      <c r="D99" s="10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9" t="s">
        <v>117</v>
      </c>
      <c r="B100" s="7"/>
      <c r="C100" s="10"/>
      <c r="D100" s="10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0" t="s">
        <v>118</v>
      </c>
      <c r="B101" s="11">
        <v>699.99</v>
      </c>
      <c r="C101" s="12" t="str">
        <f t="shared" ref="C101:C104" si="7">HYPERLINK("https://costco.com","Costco")</f>
        <v>Costco</v>
      </c>
      <c r="D101" s="10" t="s">
        <v>86</v>
      </c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0" t="s">
        <v>119</v>
      </c>
      <c r="B102" s="11">
        <v>999.99</v>
      </c>
      <c r="C102" s="12" t="str">
        <f t="shared" si="7"/>
        <v>Costco</v>
      </c>
      <c r="D102" s="10" t="s">
        <v>86</v>
      </c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0" t="s">
        <v>120</v>
      </c>
      <c r="B103" s="11">
        <v>549.99</v>
      </c>
      <c r="C103" s="12" t="str">
        <f t="shared" si="7"/>
        <v>Costco</v>
      </c>
      <c r="D103" s="10" t="s">
        <v>11</v>
      </c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0" t="s">
        <v>121</v>
      </c>
      <c r="B104" s="11">
        <v>799.99</v>
      </c>
      <c r="C104" s="12" t="str">
        <f t="shared" si="7"/>
        <v>Costco</v>
      </c>
      <c r="D104" s="10" t="s">
        <v>105</v>
      </c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0"/>
      <c r="B105" s="7"/>
      <c r="C105" s="10"/>
      <c r="D105" s="10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9" t="s">
        <v>122</v>
      </c>
      <c r="B106" s="7"/>
      <c r="C106" s="10"/>
      <c r="D106" s="10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0"/>
      <c r="B107" s="7"/>
      <c r="C107" s="10"/>
      <c r="D107" s="10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9" t="s">
        <v>123</v>
      </c>
      <c r="B108" s="7"/>
      <c r="C108" s="10"/>
      <c r="D108" s="10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0" t="s">
        <v>124</v>
      </c>
      <c r="B109" s="11">
        <v>29.99</v>
      </c>
      <c r="C109" s="12" t="str">
        <f>HYPERLINK("https://shopstyle.it/l/ch41b","Target")</f>
        <v>Target</v>
      </c>
      <c r="D109" s="10" t="s">
        <v>125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0"/>
      <c r="B110" s="7"/>
      <c r="C110" s="10"/>
      <c r="D110" s="10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9" t="s">
        <v>126</v>
      </c>
      <c r="B111" s="7"/>
      <c r="C111" s="10"/>
      <c r="D111" s="10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0" t="s">
        <v>127</v>
      </c>
      <c r="B112" s="11">
        <v>999.0</v>
      </c>
      <c r="C112" s="12" t="str">
        <f>HYPERLINK("https://shopstyle.it/l/ch41b","Target")</f>
        <v>Target</v>
      </c>
      <c r="D112" s="10" t="s">
        <v>9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0" t="s">
        <v>128</v>
      </c>
      <c r="B113" s="11">
        <v>639.99</v>
      </c>
      <c r="C113" s="12" t="str">
        <f t="shared" ref="C113:C114" si="8">HYPERLINK("https://costco.com","Costco")</f>
        <v>Costco</v>
      </c>
      <c r="D113" s="10" t="s">
        <v>129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0" t="s">
        <v>130</v>
      </c>
      <c r="B114" s="11">
        <v>79.99</v>
      </c>
      <c r="C114" s="12" t="str">
        <f t="shared" si="8"/>
        <v>Costco</v>
      </c>
      <c r="D114" s="10" t="s">
        <v>68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0"/>
      <c r="B115" s="7"/>
      <c r="C115" s="10"/>
      <c r="D115" s="10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9" t="s">
        <v>131</v>
      </c>
      <c r="B116" s="7"/>
      <c r="C116" s="10"/>
      <c r="D116" s="10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0" t="s">
        <v>132</v>
      </c>
      <c r="B117" s="11">
        <v>309.99</v>
      </c>
      <c r="C117" s="12" t="str">
        <f>HYPERLINK("https://costco.com","Costco")</f>
        <v>Costco</v>
      </c>
      <c r="D117" s="10" t="s">
        <v>129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0"/>
      <c r="B118" s="7"/>
      <c r="C118" s="10"/>
      <c r="D118" s="10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9" t="s">
        <v>133</v>
      </c>
      <c r="B119" s="7"/>
      <c r="C119" s="10"/>
      <c r="D119" s="10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0"/>
      <c r="B120" s="7"/>
      <c r="C120" s="10"/>
      <c r="D120" s="10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9" t="s">
        <v>134</v>
      </c>
      <c r="B121" s="7"/>
      <c r="C121" s="10"/>
      <c r="D121" s="10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0"/>
      <c r="B122" s="7"/>
      <c r="C122" s="10"/>
      <c r="D122" s="10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9" t="s">
        <v>135</v>
      </c>
      <c r="B123" s="7"/>
      <c r="C123" s="10"/>
      <c r="D123" s="10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0" t="s">
        <v>136</v>
      </c>
      <c r="B124" s="11">
        <v>169.99</v>
      </c>
      <c r="C124" s="12" t="str">
        <f t="shared" ref="C124:C180" si="9">HYPERLINK("https://costco.com","Costco")</f>
        <v>Costco</v>
      </c>
      <c r="D124" s="10" t="s">
        <v>61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0" t="s">
        <v>137</v>
      </c>
      <c r="B125" s="11">
        <v>799.99</v>
      </c>
      <c r="C125" s="12" t="str">
        <f t="shared" si="9"/>
        <v>Costco</v>
      </c>
      <c r="D125" s="10" t="s">
        <v>66</v>
      </c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0" t="s">
        <v>138</v>
      </c>
      <c r="B126" s="11">
        <v>249.99</v>
      </c>
      <c r="C126" s="12" t="str">
        <f t="shared" si="9"/>
        <v>Costco</v>
      </c>
      <c r="D126" s="10" t="s">
        <v>61</v>
      </c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0" t="s">
        <v>139</v>
      </c>
      <c r="B127" s="11">
        <v>999.99</v>
      </c>
      <c r="C127" s="12" t="str">
        <f t="shared" si="9"/>
        <v>Costco</v>
      </c>
      <c r="D127" s="10" t="s">
        <v>70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0" t="s">
        <v>140</v>
      </c>
      <c r="B128" s="11">
        <v>199.99</v>
      </c>
      <c r="C128" s="12" t="str">
        <f t="shared" si="9"/>
        <v>Costco</v>
      </c>
      <c r="D128" s="10" t="s">
        <v>61</v>
      </c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0" t="s">
        <v>141</v>
      </c>
      <c r="B129" s="11">
        <v>269.99</v>
      </c>
      <c r="C129" s="12" t="str">
        <f t="shared" si="9"/>
        <v>Costco</v>
      </c>
      <c r="D129" s="10" t="s">
        <v>61</v>
      </c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0" t="s">
        <v>142</v>
      </c>
      <c r="B130" s="11">
        <v>899.99</v>
      </c>
      <c r="C130" s="12" t="str">
        <f t="shared" si="9"/>
        <v>Costco</v>
      </c>
      <c r="D130" s="10" t="s">
        <v>66</v>
      </c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0" t="s">
        <v>143</v>
      </c>
      <c r="B131" s="11">
        <v>269.99</v>
      </c>
      <c r="C131" s="12" t="str">
        <f t="shared" si="9"/>
        <v>Costco</v>
      </c>
      <c r="D131" s="10" t="s">
        <v>61</v>
      </c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0" t="s">
        <v>144</v>
      </c>
      <c r="B132" s="11">
        <v>279.99</v>
      </c>
      <c r="C132" s="12" t="str">
        <f t="shared" si="9"/>
        <v>Costco</v>
      </c>
      <c r="D132" s="10" t="s">
        <v>61</v>
      </c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0" t="s">
        <v>145</v>
      </c>
      <c r="B133" s="11">
        <v>399.99</v>
      </c>
      <c r="C133" s="12" t="str">
        <f t="shared" si="9"/>
        <v>Costco</v>
      </c>
      <c r="D133" s="10" t="s">
        <v>61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0" t="s">
        <v>146</v>
      </c>
      <c r="B134" s="11">
        <v>999.99</v>
      </c>
      <c r="C134" s="12" t="str">
        <f t="shared" si="9"/>
        <v>Costco</v>
      </c>
      <c r="D134" s="10" t="s">
        <v>66</v>
      </c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0" t="s">
        <v>147</v>
      </c>
      <c r="B135" s="11">
        <v>499.99</v>
      </c>
      <c r="C135" s="12" t="str">
        <f t="shared" si="9"/>
        <v>Costco</v>
      </c>
      <c r="D135" s="10" t="s">
        <v>148</v>
      </c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0" t="s">
        <v>149</v>
      </c>
      <c r="B136" s="11">
        <v>279.99</v>
      </c>
      <c r="C136" s="12" t="str">
        <f t="shared" si="9"/>
        <v>Costco</v>
      </c>
      <c r="D136" s="10" t="s">
        <v>61</v>
      </c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0" t="s">
        <v>150</v>
      </c>
      <c r="B137" s="11">
        <v>349.99</v>
      </c>
      <c r="C137" s="12" t="str">
        <f t="shared" si="9"/>
        <v>Costco</v>
      </c>
      <c r="D137" s="10" t="s">
        <v>61</v>
      </c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0" t="s">
        <v>151</v>
      </c>
      <c r="B138" s="11">
        <v>549.99</v>
      </c>
      <c r="C138" s="12" t="str">
        <f t="shared" si="9"/>
        <v>Costco</v>
      </c>
      <c r="D138" s="10" t="s">
        <v>66</v>
      </c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0" t="s">
        <v>152</v>
      </c>
      <c r="B139" s="11">
        <v>999.99</v>
      </c>
      <c r="C139" s="12" t="str">
        <f t="shared" si="9"/>
        <v>Costco</v>
      </c>
      <c r="D139" s="10" t="s">
        <v>153</v>
      </c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0" t="s">
        <v>154</v>
      </c>
      <c r="B140" s="11">
        <v>1999.99</v>
      </c>
      <c r="C140" s="12" t="str">
        <f t="shared" si="9"/>
        <v>Costco</v>
      </c>
      <c r="D140" s="10" t="s">
        <v>155</v>
      </c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0" t="s">
        <v>156</v>
      </c>
      <c r="B141" s="11">
        <v>379.99</v>
      </c>
      <c r="C141" s="12" t="str">
        <f t="shared" si="9"/>
        <v>Costco</v>
      </c>
      <c r="D141" s="10" t="s">
        <v>61</v>
      </c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0" t="s">
        <v>157</v>
      </c>
      <c r="B142" s="11">
        <v>599.99</v>
      </c>
      <c r="C142" s="12" t="str">
        <f t="shared" si="9"/>
        <v>Costco</v>
      </c>
      <c r="D142" s="10" t="s">
        <v>66</v>
      </c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0" t="s">
        <v>158</v>
      </c>
      <c r="B143" s="11">
        <v>499.99</v>
      </c>
      <c r="C143" s="12" t="str">
        <f t="shared" si="9"/>
        <v>Costco</v>
      </c>
      <c r="D143" s="10" t="s">
        <v>61</v>
      </c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0" t="s">
        <v>159</v>
      </c>
      <c r="B144" s="11">
        <v>799.99</v>
      </c>
      <c r="C144" s="12" t="str">
        <f t="shared" si="9"/>
        <v>Costco</v>
      </c>
      <c r="D144" s="10" t="s">
        <v>66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0" t="s">
        <v>160</v>
      </c>
      <c r="B145" s="11">
        <v>949.99</v>
      </c>
      <c r="C145" s="12" t="str">
        <f t="shared" si="9"/>
        <v>Costco</v>
      </c>
      <c r="D145" s="10" t="s">
        <v>148</v>
      </c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0" t="s">
        <v>161</v>
      </c>
      <c r="B146" s="11">
        <v>1399.99</v>
      </c>
      <c r="C146" s="12" t="str">
        <f t="shared" si="9"/>
        <v>Costco</v>
      </c>
      <c r="D146" s="10" t="s">
        <v>61</v>
      </c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0" t="s">
        <v>162</v>
      </c>
      <c r="B147" s="11">
        <v>1799.99</v>
      </c>
      <c r="C147" s="12" t="str">
        <f t="shared" si="9"/>
        <v>Costco</v>
      </c>
      <c r="D147" s="10" t="s">
        <v>66</v>
      </c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0" t="s">
        <v>163</v>
      </c>
      <c r="B148" s="11">
        <v>1199.99</v>
      </c>
      <c r="C148" s="12" t="str">
        <f t="shared" si="9"/>
        <v>Costco</v>
      </c>
      <c r="D148" s="10" t="s">
        <v>66</v>
      </c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0" t="s">
        <v>164</v>
      </c>
      <c r="B149" s="11">
        <v>429.99</v>
      </c>
      <c r="C149" s="12" t="str">
        <f t="shared" si="9"/>
        <v>Costco</v>
      </c>
      <c r="D149" s="10" t="s">
        <v>61</v>
      </c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0" t="s">
        <v>165</v>
      </c>
      <c r="B150" s="11">
        <v>599.99</v>
      </c>
      <c r="C150" s="12" t="str">
        <f t="shared" si="9"/>
        <v>Costco</v>
      </c>
      <c r="D150" s="10" t="s">
        <v>148</v>
      </c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0" t="s">
        <v>166</v>
      </c>
      <c r="B151" s="11">
        <v>999.99</v>
      </c>
      <c r="C151" s="12" t="str">
        <f t="shared" si="9"/>
        <v>Costco</v>
      </c>
      <c r="D151" s="10" t="s">
        <v>61</v>
      </c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0" t="s">
        <v>167</v>
      </c>
      <c r="B152" s="11">
        <v>1499.99</v>
      </c>
      <c r="C152" s="12" t="str">
        <f t="shared" si="9"/>
        <v>Costco</v>
      </c>
      <c r="D152" s="10" t="s">
        <v>61</v>
      </c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0" t="s">
        <v>168</v>
      </c>
      <c r="B153" s="11">
        <v>799.99</v>
      </c>
      <c r="C153" s="12" t="str">
        <f t="shared" si="9"/>
        <v>Costco</v>
      </c>
      <c r="D153" s="10" t="s">
        <v>66</v>
      </c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0" t="s">
        <v>169</v>
      </c>
      <c r="B154" s="11">
        <v>379.99</v>
      </c>
      <c r="C154" s="12" t="str">
        <f t="shared" si="9"/>
        <v>Costco</v>
      </c>
      <c r="D154" s="10" t="s">
        <v>61</v>
      </c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0" t="s">
        <v>170</v>
      </c>
      <c r="B155" s="11">
        <v>749.99</v>
      </c>
      <c r="C155" s="12" t="str">
        <f t="shared" si="9"/>
        <v>Costco</v>
      </c>
      <c r="D155" s="10" t="s">
        <v>66</v>
      </c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0" t="s">
        <v>171</v>
      </c>
      <c r="B156" s="11">
        <v>449.99</v>
      </c>
      <c r="C156" s="12" t="str">
        <f t="shared" si="9"/>
        <v>Costco</v>
      </c>
      <c r="D156" s="10" t="s">
        <v>172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0" t="s">
        <v>173</v>
      </c>
      <c r="B157" s="11">
        <v>549.99</v>
      </c>
      <c r="C157" s="12" t="str">
        <f t="shared" si="9"/>
        <v>Costco</v>
      </c>
      <c r="D157" s="10" t="s">
        <v>61</v>
      </c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0" t="s">
        <v>174</v>
      </c>
      <c r="B158" s="11">
        <v>699.99</v>
      </c>
      <c r="C158" s="12" t="str">
        <f t="shared" si="9"/>
        <v>Costco</v>
      </c>
      <c r="D158" s="10" t="s">
        <v>66</v>
      </c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0" t="s">
        <v>175</v>
      </c>
      <c r="B159" s="11">
        <v>699.99</v>
      </c>
      <c r="C159" s="12" t="str">
        <f t="shared" si="9"/>
        <v>Costco</v>
      </c>
      <c r="D159" s="10" t="s">
        <v>61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0" t="s">
        <v>176</v>
      </c>
      <c r="B160" s="11">
        <v>999.99</v>
      </c>
      <c r="C160" s="12" t="str">
        <f t="shared" si="9"/>
        <v>Costco</v>
      </c>
      <c r="D160" s="10" t="s">
        <v>66</v>
      </c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0" t="s">
        <v>177</v>
      </c>
      <c r="B161" s="11">
        <v>2499.99</v>
      </c>
      <c r="C161" s="12" t="str">
        <f t="shared" si="9"/>
        <v>Costco</v>
      </c>
      <c r="D161" s="10" t="s">
        <v>66</v>
      </c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0" t="s">
        <v>178</v>
      </c>
      <c r="B162" s="11">
        <v>599.99</v>
      </c>
      <c r="C162" s="12" t="str">
        <f t="shared" si="9"/>
        <v>Costco</v>
      </c>
      <c r="D162" s="10" t="s">
        <v>61</v>
      </c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0" t="s">
        <v>179</v>
      </c>
      <c r="B163" s="11">
        <v>799.99</v>
      </c>
      <c r="C163" s="12" t="str">
        <f t="shared" si="9"/>
        <v>Costco</v>
      </c>
      <c r="D163" s="10" t="s">
        <v>148</v>
      </c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0" t="s">
        <v>180</v>
      </c>
      <c r="B164" s="11">
        <v>479.99</v>
      </c>
      <c r="C164" s="12" t="str">
        <f t="shared" si="9"/>
        <v>Costco</v>
      </c>
      <c r="D164" s="10" t="s">
        <v>61</v>
      </c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0" t="s">
        <v>181</v>
      </c>
      <c r="B165" s="11">
        <v>3499.99</v>
      </c>
      <c r="C165" s="12" t="str">
        <f t="shared" si="9"/>
        <v>Costco</v>
      </c>
      <c r="D165" s="10" t="s">
        <v>155</v>
      </c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0" t="s">
        <v>182</v>
      </c>
      <c r="B166" s="11">
        <v>1799.99</v>
      </c>
      <c r="C166" s="12" t="str">
        <f t="shared" si="9"/>
        <v>Costco</v>
      </c>
      <c r="D166" s="10" t="s">
        <v>148</v>
      </c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0" t="s">
        <v>183</v>
      </c>
      <c r="B167" s="11">
        <v>1999.99</v>
      </c>
      <c r="C167" s="12" t="str">
        <f t="shared" si="9"/>
        <v>Costco</v>
      </c>
      <c r="D167" s="10" t="s">
        <v>61</v>
      </c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0" t="s">
        <v>184</v>
      </c>
      <c r="B168" s="11">
        <v>2199.99</v>
      </c>
      <c r="C168" s="12" t="str">
        <f t="shared" si="9"/>
        <v>Costco</v>
      </c>
      <c r="D168" s="10" t="s">
        <v>66</v>
      </c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0" t="s">
        <v>185</v>
      </c>
      <c r="B169" s="11">
        <v>4999.99</v>
      </c>
      <c r="C169" s="12" t="str">
        <f t="shared" si="9"/>
        <v>Costco</v>
      </c>
      <c r="D169" s="10" t="s">
        <v>155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0" t="s">
        <v>186</v>
      </c>
      <c r="B170" s="11">
        <v>2499.99</v>
      </c>
      <c r="C170" s="12" t="str">
        <f t="shared" si="9"/>
        <v>Costco</v>
      </c>
      <c r="D170" s="10" t="s">
        <v>187</v>
      </c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0" t="s">
        <v>188</v>
      </c>
      <c r="B171" s="11">
        <v>799.99</v>
      </c>
      <c r="C171" s="12" t="str">
        <f t="shared" si="9"/>
        <v>Costco</v>
      </c>
      <c r="D171" s="10" t="s">
        <v>153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0" t="s">
        <v>189</v>
      </c>
      <c r="B172" s="11">
        <v>1099.99</v>
      </c>
      <c r="C172" s="12" t="str">
        <f t="shared" si="9"/>
        <v>Costco</v>
      </c>
      <c r="D172" s="10" t="s">
        <v>66</v>
      </c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0" t="s">
        <v>190</v>
      </c>
      <c r="B173" s="11">
        <v>1599.99</v>
      </c>
      <c r="C173" s="12" t="str">
        <f t="shared" si="9"/>
        <v>Costco</v>
      </c>
      <c r="D173" s="10" t="s">
        <v>66</v>
      </c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0" t="s">
        <v>191</v>
      </c>
      <c r="B174" s="11">
        <v>2299.99</v>
      </c>
      <c r="C174" s="12" t="str">
        <f t="shared" si="9"/>
        <v>Costco</v>
      </c>
      <c r="D174" s="10" t="s">
        <v>148</v>
      </c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0" t="s">
        <v>192</v>
      </c>
      <c r="B175" s="11">
        <v>3499.99</v>
      </c>
      <c r="C175" s="12" t="str">
        <f t="shared" si="9"/>
        <v>Costco</v>
      </c>
      <c r="D175" s="10" t="s">
        <v>66</v>
      </c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0" t="s">
        <v>193</v>
      </c>
      <c r="B176" s="11">
        <v>1699.99</v>
      </c>
      <c r="C176" s="12" t="str">
        <f t="shared" si="9"/>
        <v>Costco</v>
      </c>
      <c r="D176" s="10" t="s">
        <v>66</v>
      </c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0" t="s">
        <v>194</v>
      </c>
      <c r="B177" s="11">
        <v>799.99</v>
      </c>
      <c r="C177" s="12" t="str">
        <f t="shared" si="9"/>
        <v>Costco</v>
      </c>
      <c r="D177" s="10" t="s">
        <v>66</v>
      </c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0" t="s">
        <v>195</v>
      </c>
      <c r="B178" s="11">
        <v>799.99</v>
      </c>
      <c r="C178" s="12" t="str">
        <f t="shared" si="9"/>
        <v>Costco</v>
      </c>
      <c r="D178" s="10" t="s">
        <v>66</v>
      </c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0" t="s">
        <v>196</v>
      </c>
      <c r="B179" s="11">
        <v>1699.99</v>
      </c>
      <c r="C179" s="12" t="str">
        <f t="shared" si="9"/>
        <v>Costco</v>
      </c>
      <c r="D179" s="10" t="s">
        <v>197</v>
      </c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0" t="s">
        <v>198</v>
      </c>
      <c r="B180" s="11">
        <v>1699.99</v>
      </c>
      <c r="C180" s="12" t="str">
        <f t="shared" si="9"/>
        <v>Costco</v>
      </c>
      <c r="D180" s="10" t="s">
        <v>66</v>
      </c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0" t="s">
        <v>199</v>
      </c>
      <c r="B181" s="11">
        <v>998.0</v>
      </c>
      <c r="C181" s="12" t="str">
        <f>HYPERLINK("https://go.magik.ly/ml/rtk9/","Walmart")</f>
        <v>Walmart</v>
      </c>
      <c r="D181" s="10" t="s">
        <v>200</v>
      </c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0" t="s">
        <v>201</v>
      </c>
      <c r="B182" s="11">
        <v>1699.99</v>
      </c>
      <c r="C182" s="12" t="str">
        <f>HYPERLINK("https://costco.com","Costco")</f>
        <v>Costco</v>
      </c>
      <c r="D182" s="10" t="s">
        <v>66</v>
      </c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0" t="s">
        <v>199</v>
      </c>
      <c r="B183" s="11">
        <v>998.0</v>
      </c>
      <c r="C183" s="12" t="str">
        <f>HYPERLINK("https://go.magik.ly/ml/rtk9/","Walmart")</f>
        <v>Walmart</v>
      </c>
      <c r="D183" s="10" t="s">
        <v>200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0" t="s">
        <v>201</v>
      </c>
      <c r="B184" s="11">
        <v>1699.99</v>
      </c>
      <c r="C184" s="12" t="str">
        <f>HYPERLINK("https://costco.com","Costco")</f>
        <v>Costco</v>
      </c>
      <c r="D184" s="10" t="s">
        <v>66</v>
      </c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0"/>
      <c r="B185" s="7"/>
      <c r="C185" s="10"/>
      <c r="D185" s="10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9" t="s">
        <v>202</v>
      </c>
      <c r="B186" s="7"/>
      <c r="C186" s="10"/>
      <c r="D186" s="10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0"/>
      <c r="B187" s="7"/>
      <c r="C187" s="10"/>
      <c r="D187" s="10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9" t="s">
        <v>203</v>
      </c>
      <c r="B188" s="7"/>
      <c r="C188" s="10"/>
      <c r="D188" s="10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0" t="s">
        <v>204</v>
      </c>
      <c r="B189" s="11" t="s">
        <v>205</v>
      </c>
      <c r="C189" s="12" t="str">
        <f>HYPERLINK("https://shopstyle.it/l/ch41b","Target")</f>
        <v>Target</v>
      </c>
      <c r="D189" s="10" t="s">
        <v>9</v>
      </c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0" t="s">
        <v>206</v>
      </c>
      <c r="B190" s="11">
        <v>599.99</v>
      </c>
      <c r="C190" s="12" t="str">
        <f t="shared" ref="C190:C194" si="10">HYPERLINK("https://costco.com","Costco")</f>
        <v>Costco</v>
      </c>
      <c r="D190" s="10" t="s">
        <v>70</v>
      </c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0" t="s">
        <v>207</v>
      </c>
      <c r="B191" s="11">
        <v>109.99</v>
      </c>
      <c r="C191" s="12" t="str">
        <f t="shared" si="10"/>
        <v>Costco</v>
      </c>
      <c r="D191" s="10" t="s">
        <v>64</v>
      </c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0" t="s">
        <v>208</v>
      </c>
      <c r="B192" s="11" t="s">
        <v>209</v>
      </c>
      <c r="C192" s="12" t="str">
        <f t="shared" si="10"/>
        <v>Costco</v>
      </c>
      <c r="D192" s="10" t="s">
        <v>210</v>
      </c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0" t="s">
        <v>211</v>
      </c>
      <c r="B193" s="11">
        <v>219.99</v>
      </c>
      <c r="C193" s="12" t="str">
        <f t="shared" si="10"/>
        <v>Costco</v>
      </c>
      <c r="D193" s="10" t="s">
        <v>66</v>
      </c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0" t="s">
        <v>212</v>
      </c>
      <c r="B194" s="11">
        <v>359.99</v>
      </c>
      <c r="C194" s="12" t="str">
        <f t="shared" si="10"/>
        <v>Costco</v>
      </c>
      <c r="D194" s="10" t="s">
        <v>66</v>
      </c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0" t="s">
        <v>213</v>
      </c>
      <c r="B195" s="11" t="s">
        <v>214</v>
      </c>
      <c r="C195" s="12" t="str">
        <f>HYPERLINK("https://shopstyle.it/l/ch41Y","Kohl's")</f>
        <v>Kohl's</v>
      </c>
      <c r="D195" s="14" t="s">
        <v>215</v>
      </c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0" t="s">
        <v>216</v>
      </c>
      <c r="B196" s="11">
        <v>49.99</v>
      </c>
      <c r="C196" s="12" t="str">
        <f t="shared" ref="C196:C199" si="11">HYPERLINK("https://shopstyle.it/l/ch41b","Target")</f>
        <v>Target</v>
      </c>
      <c r="D196" s="10" t="s">
        <v>9</v>
      </c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0" t="s">
        <v>217</v>
      </c>
      <c r="B197" s="11">
        <v>129.99</v>
      </c>
      <c r="C197" s="12" t="str">
        <f t="shared" si="11"/>
        <v>Target</v>
      </c>
      <c r="D197" s="10" t="s">
        <v>9</v>
      </c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0" t="s">
        <v>218</v>
      </c>
      <c r="B198" s="11">
        <v>149.99</v>
      </c>
      <c r="C198" s="12" t="str">
        <f t="shared" si="11"/>
        <v>Target</v>
      </c>
      <c r="D198" s="10" t="s">
        <v>9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0" t="s">
        <v>219</v>
      </c>
      <c r="B199" s="11">
        <v>249.99</v>
      </c>
      <c r="C199" s="12" t="str">
        <f t="shared" si="11"/>
        <v>Target</v>
      </c>
      <c r="D199" s="10" t="s">
        <v>9</v>
      </c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0" t="s">
        <v>220</v>
      </c>
      <c r="B200" s="11">
        <v>134.99</v>
      </c>
      <c r="C200" s="12" t="str">
        <f>HYPERLINK("https://costco.com","Costco")</f>
        <v>Costco</v>
      </c>
      <c r="D200" s="10" t="s">
        <v>221</v>
      </c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0" t="s">
        <v>222</v>
      </c>
      <c r="B201" s="11">
        <v>169.0</v>
      </c>
      <c r="C201" s="12" t="str">
        <f>HYPERLINK("https:samsclub.com","Sam's Club")</f>
        <v>Sam's Club</v>
      </c>
      <c r="D201" s="10" t="s">
        <v>223</v>
      </c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0" t="s">
        <v>224</v>
      </c>
      <c r="B202" s="11">
        <v>149.99</v>
      </c>
      <c r="C202" s="12" t="str">
        <f>HYPERLINK("https://costco.com","Costco")</f>
        <v>Costco</v>
      </c>
      <c r="D202" s="10" t="s">
        <v>61</v>
      </c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0" t="s">
        <v>225</v>
      </c>
      <c r="B203" s="11">
        <v>99.99</v>
      </c>
      <c r="C203" s="12" t="str">
        <f>HYPERLINK("https://shopstyle.it/l/ch41Y","Kohl's")</f>
        <v>Kohl's</v>
      </c>
      <c r="D203" s="14" t="s">
        <v>226</v>
      </c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0" t="s">
        <v>227</v>
      </c>
      <c r="B204" s="11">
        <v>22.88</v>
      </c>
      <c r="C204" s="12" t="str">
        <f>HYPERLINK("https://go.magik.ly/ml/sfil/","Home Depot")</f>
        <v>Home Depot</v>
      </c>
      <c r="D204" s="10" t="s">
        <v>228</v>
      </c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0" t="s">
        <v>229</v>
      </c>
      <c r="B205" s="11">
        <v>197.99</v>
      </c>
      <c r="C205" s="12" t="str">
        <f>HYPERLINK("https://go.magik.ly/ml/rtk9/","Walmart")</f>
        <v>Walmart</v>
      </c>
      <c r="D205" s="10" t="s">
        <v>200</v>
      </c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0" t="s">
        <v>230</v>
      </c>
      <c r="B206" s="11">
        <v>59.99</v>
      </c>
      <c r="C206" s="12" t="str">
        <f>HYPERLINK("https://costco.com","Costco")</f>
        <v>Costco</v>
      </c>
      <c r="D206" s="10" t="s">
        <v>61</v>
      </c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0" t="s">
        <v>231</v>
      </c>
      <c r="B207" s="11">
        <v>38.99</v>
      </c>
      <c r="C207" s="12" t="str">
        <f>HYPERLINK("https://go.magik.ly/ml/rtk9/","Walmart")</f>
        <v>Walmart</v>
      </c>
      <c r="D207" s="10" t="s">
        <v>200</v>
      </c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0" t="s">
        <v>232</v>
      </c>
      <c r="B208" s="11" t="s">
        <v>233</v>
      </c>
      <c r="C208" s="12" t="str">
        <f t="shared" ref="C208:C212" si="12">HYPERLINK("https://brandcycle.shop/9dmst","Ace Hardware")</f>
        <v>Ace Hardware</v>
      </c>
      <c r="D208" s="15" t="s">
        <v>234</v>
      </c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0" t="s">
        <v>235</v>
      </c>
      <c r="B209" s="11" t="s">
        <v>233</v>
      </c>
      <c r="C209" s="12" t="str">
        <f t="shared" si="12"/>
        <v>Ace Hardware</v>
      </c>
      <c r="D209" s="10" t="s">
        <v>234</v>
      </c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0" t="s">
        <v>236</v>
      </c>
      <c r="B210" s="11" t="s">
        <v>233</v>
      </c>
      <c r="C210" s="12" t="str">
        <f t="shared" si="12"/>
        <v>Ace Hardware</v>
      </c>
      <c r="D210" s="15" t="s">
        <v>234</v>
      </c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0" t="s">
        <v>237</v>
      </c>
      <c r="B211" s="11" t="s">
        <v>233</v>
      </c>
      <c r="C211" s="12" t="str">
        <f t="shared" si="12"/>
        <v>Ace Hardware</v>
      </c>
      <c r="D211" s="15" t="s">
        <v>234</v>
      </c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0" t="s">
        <v>238</v>
      </c>
      <c r="B212" s="11" t="s">
        <v>233</v>
      </c>
      <c r="C212" s="12" t="str">
        <f t="shared" si="12"/>
        <v>Ace Hardware</v>
      </c>
      <c r="D212" s="15" t="s">
        <v>234</v>
      </c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0" t="s">
        <v>239</v>
      </c>
      <c r="B213" s="11">
        <v>489.99</v>
      </c>
      <c r="C213" s="12" t="str">
        <f t="shared" ref="C213:C214" si="13">HYPERLINK("https://shopstyle.it/l/ch41b","Target")</f>
        <v>Target</v>
      </c>
      <c r="D213" s="10" t="s">
        <v>9</v>
      </c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0" t="s">
        <v>240</v>
      </c>
      <c r="B214" s="11">
        <v>539.99</v>
      </c>
      <c r="C214" s="12" t="str">
        <f t="shared" si="13"/>
        <v>Target</v>
      </c>
      <c r="D214" s="10" t="s">
        <v>9</v>
      </c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0" t="s">
        <v>241</v>
      </c>
      <c r="B215" s="11">
        <v>129.99</v>
      </c>
      <c r="C215" s="12" t="str">
        <f>HYPERLINK("https://costco.com","Costco")</f>
        <v>Costco</v>
      </c>
      <c r="D215" s="10" t="s">
        <v>100</v>
      </c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0" t="s">
        <v>242</v>
      </c>
      <c r="B216" s="11">
        <v>18.87</v>
      </c>
      <c r="C216" s="12" t="str">
        <f t="shared" ref="C216:C217" si="14">HYPERLINK("https://go.magik.ly/ml/sfil/","Home Depot")</f>
        <v>Home Depot</v>
      </c>
      <c r="D216" s="10" t="s">
        <v>243</v>
      </c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0" t="s">
        <v>244</v>
      </c>
      <c r="B217" s="11">
        <v>18.87</v>
      </c>
      <c r="C217" s="12" t="str">
        <f t="shared" si="14"/>
        <v>Home Depot</v>
      </c>
      <c r="D217" s="10" t="s">
        <v>243</v>
      </c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0" t="s">
        <v>245</v>
      </c>
      <c r="B218" s="11" t="s">
        <v>246</v>
      </c>
      <c r="C218" s="12" t="str">
        <f>HYPERLINK("https://costco.com","Costco")</f>
        <v>Costco</v>
      </c>
      <c r="D218" s="10" t="s">
        <v>61</v>
      </c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0" t="s">
        <v>247</v>
      </c>
      <c r="B219" s="11">
        <v>29.88</v>
      </c>
      <c r="C219" s="12" t="str">
        <f t="shared" ref="C219:C222" si="15">HYPERLINK("https://go.magik.ly/ml/sfil/","Home Depot")</f>
        <v>Home Depot</v>
      </c>
      <c r="D219" s="10" t="s">
        <v>248</v>
      </c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0" t="s">
        <v>249</v>
      </c>
      <c r="B220" s="11">
        <v>29.88</v>
      </c>
      <c r="C220" s="12" t="str">
        <f t="shared" si="15"/>
        <v>Home Depot</v>
      </c>
      <c r="D220" s="10" t="s">
        <v>248</v>
      </c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0" t="s">
        <v>250</v>
      </c>
      <c r="B221" s="11">
        <v>12.88</v>
      </c>
      <c r="C221" s="12" t="str">
        <f t="shared" si="15"/>
        <v>Home Depot</v>
      </c>
      <c r="D221" s="10" t="s">
        <v>251</v>
      </c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0" t="s">
        <v>252</v>
      </c>
      <c r="B222" s="11">
        <v>24.88</v>
      </c>
      <c r="C222" s="12" t="str">
        <f t="shared" si="15"/>
        <v>Home Depot</v>
      </c>
      <c r="D222" s="10" t="s">
        <v>251</v>
      </c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0" t="s">
        <v>253</v>
      </c>
      <c r="B223" s="11" t="s">
        <v>205</v>
      </c>
      <c r="C223" s="12" t="str">
        <f t="shared" ref="C223:C224" si="16">HYPERLINK("https://shopstyle.it/l/ch41b","Target")</f>
        <v>Target</v>
      </c>
      <c r="D223" s="10" t="s">
        <v>9</v>
      </c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0" t="s">
        <v>254</v>
      </c>
      <c r="B224" s="11" t="s">
        <v>205</v>
      </c>
      <c r="C224" s="12" t="str">
        <f t="shared" si="16"/>
        <v>Target</v>
      </c>
      <c r="D224" s="10" t="s">
        <v>9</v>
      </c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0" t="s">
        <v>255</v>
      </c>
      <c r="B225" s="11">
        <v>1299.99</v>
      </c>
      <c r="C225" s="12" t="str">
        <f t="shared" ref="C225:C232" si="17">HYPERLINK("https://costco.com","Costco")</f>
        <v>Costco</v>
      </c>
      <c r="D225" s="10" t="s">
        <v>256</v>
      </c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0" t="s">
        <v>257</v>
      </c>
      <c r="B226" s="11">
        <v>119.99</v>
      </c>
      <c r="C226" s="12" t="str">
        <f t="shared" si="17"/>
        <v>Costco</v>
      </c>
      <c r="D226" s="10" t="s">
        <v>61</v>
      </c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0" t="s">
        <v>258</v>
      </c>
      <c r="B227" s="11">
        <v>59.99</v>
      </c>
      <c r="C227" s="12" t="str">
        <f t="shared" si="17"/>
        <v>Costco</v>
      </c>
      <c r="D227" s="10" t="s">
        <v>64</v>
      </c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0" t="s">
        <v>259</v>
      </c>
      <c r="B228" s="11">
        <v>349.99</v>
      </c>
      <c r="C228" s="12" t="str">
        <f t="shared" si="17"/>
        <v>Costco</v>
      </c>
      <c r="D228" s="10" t="s">
        <v>61</v>
      </c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0" t="s">
        <v>260</v>
      </c>
      <c r="B229" s="11" t="s">
        <v>261</v>
      </c>
      <c r="C229" s="12" t="str">
        <f t="shared" si="17"/>
        <v>Costco</v>
      </c>
      <c r="D229" s="10" t="s">
        <v>64</v>
      </c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0" t="s">
        <v>262</v>
      </c>
      <c r="B230" s="11" t="s">
        <v>261</v>
      </c>
      <c r="C230" s="12" t="str">
        <f t="shared" si="17"/>
        <v>Costco</v>
      </c>
      <c r="D230" s="10" t="s">
        <v>64</v>
      </c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0" t="s">
        <v>263</v>
      </c>
      <c r="B231" s="11">
        <v>34.99</v>
      </c>
      <c r="C231" s="12" t="str">
        <f t="shared" si="17"/>
        <v>Costco</v>
      </c>
      <c r="D231" s="10" t="s">
        <v>64</v>
      </c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0" t="s">
        <v>264</v>
      </c>
      <c r="B232" s="11">
        <v>449.99</v>
      </c>
      <c r="C232" s="12" t="str">
        <f t="shared" si="17"/>
        <v>Costco</v>
      </c>
      <c r="D232" s="10" t="s">
        <v>66</v>
      </c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0" t="s">
        <v>265</v>
      </c>
      <c r="B233" s="11">
        <v>79.99</v>
      </c>
      <c r="C233" s="12" t="str">
        <f>HYPERLINK("https://brandcycle.shop/9dmst","Ace Hardware")</f>
        <v>Ace Hardware</v>
      </c>
      <c r="D233" s="10" t="s">
        <v>266</v>
      </c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0" t="s">
        <v>267</v>
      </c>
      <c r="B234" s="11">
        <v>169.99</v>
      </c>
      <c r="C234" s="12" t="str">
        <f>HYPERLINK("https://costco.com","Costco")</f>
        <v>Costco</v>
      </c>
      <c r="D234" s="10" t="s">
        <v>268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0" t="s">
        <v>269</v>
      </c>
      <c r="B235" s="11">
        <v>11.99</v>
      </c>
      <c r="C235" s="12" t="str">
        <f t="shared" ref="C235:C239" si="18">HYPERLINK("https://brandcycle.shop/9dmst","Ace Hardware")</f>
        <v>Ace Hardware</v>
      </c>
      <c r="D235" s="10" t="s">
        <v>266</v>
      </c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0" t="s">
        <v>270</v>
      </c>
      <c r="B236" s="11">
        <v>11.99</v>
      </c>
      <c r="C236" s="12" t="str">
        <f t="shared" si="18"/>
        <v>Ace Hardware</v>
      </c>
      <c r="D236" s="10" t="s">
        <v>266</v>
      </c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0" t="s">
        <v>271</v>
      </c>
      <c r="B237" s="11">
        <v>11.99</v>
      </c>
      <c r="C237" s="12" t="str">
        <f t="shared" si="18"/>
        <v>Ace Hardware</v>
      </c>
      <c r="D237" s="10" t="s">
        <v>266</v>
      </c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0" t="s">
        <v>272</v>
      </c>
      <c r="B238" s="11">
        <v>11.99</v>
      </c>
      <c r="C238" s="12" t="str">
        <f t="shared" si="18"/>
        <v>Ace Hardware</v>
      </c>
      <c r="D238" s="10" t="s">
        <v>266</v>
      </c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0" t="s">
        <v>273</v>
      </c>
      <c r="B239" s="11">
        <v>11.99</v>
      </c>
      <c r="C239" s="12" t="str">
        <f t="shared" si="18"/>
        <v>Ace Hardware</v>
      </c>
      <c r="D239" s="10" t="s">
        <v>266</v>
      </c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0" t="s">
        <v>274</v>
      </c>
      <c r="B240" s="11">
        <v>599.99</v>
      </c>
      <c r="C240" s="12" t="str">
        <f t="shared" ref="C240:C241" si="19">HYPERLINK("https://costco.com","Costco")</f>
        <v>Costco</v>
      </c>
      <c r="D240" s="10" t="s">
        <v>64</v>
      </c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0" t="s">
        <v>275</v>
      </c>
      <c r="B241" s="11" t="s">
        <v>276</v>
      </c>
      <c r="C241" s="12" t="str">
        <f t="shared" si="19"/>
        <v>Costco</v>
      </c>
      <c r="D241" s="10" t="s">
        <v>66</v>
      </c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0" t="s">
        <v>277</v>
      </c>
      <c r="B242" s="11">
        <v>159.99</v>
      </c>
      <c r="C242" s="12" t="str">
        <f>HYPERLINK("https://shopstyle.it/l/ch41b","Target")</f>
        <v>Target</v>
      </c>
      <c r="D242" s="10" t="s">
        <v>9</v>
      </c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0" t="s">
        <v>278</v>
      </c>
      <c r="B243" s="11" t="s">
        <v>279</v>
      </c>
      <c r="C243" s="12" t="str">
        <f>HYPERLINK("https://costco.com","Costco")</f>
        <v>Costco</v>
      </c>
      <c r="D243" s="10" t="s">
        <v>61</v>
      </c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0" t="s">
        <v>280</v>
      </c>
      <c r="B244" s="11">
        <v>69.99</v>
      </c>
      <c r="C244" s="12" t="str">
        <f>HYPERLINK("https://go.magik.ly/ml/sfil/","Home Depot")</f>
        <v>Home Depot</v>
      </c>
      <c r="D244" s="10" t="s">
        <v>281</v>
      </c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0" t="s">
        <v>282</v>
      </c>
      <c r="B245" s="11" t="s">
        <v>279</v>
      </c>
      <c r="C245" s="12" t="str">
        <f t="shared" ref="C245:C247" si="20">HYPERLINK("https://costco.com","Costco")</f>
        <v>Costco</v>
      </c>
      <c r="D245" s="10" t="s">
        <v>61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7" t="s">
        <v>283</v>
      </c>
      <c r="B246" s="11">
        <v>199.99</v>
      </c>
      <c r="C246" s="12" t="str">
        <f t="shared" si="20"/>
        <v>Costco</v>
      </c>
      <c r="D246" s="10" t="s">
        <v>153</v>
      </c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0" t="s">
        <v>284</v>
      </c>
      <c r="B247" s="11">
        <v>299.99</v>
      </c>
      <c r="C247" s="12" t="str">
        <f t="shared" si="20"/>
        <v>Costco</v>
      </c>
      <c r="D247" s="10" t="s">
        <v>61</v>
      </c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0" t="s">
        <v>285</v>
      </c>
      <c r="B248" s="11">
        <v>199.99</v>
      </c>
      <c r="C248" s="12" t="str">
        <f>HYPERLINK("https://shopstyle.it/l/ch41b","Target")</f>
        <v>Target</v>
      </c>
      <c r="D248" s="10" t="s">
        <v>9</v>
      </c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0" t="s">
        <v>286</v>
      </c>
      <c r="B249" s="11">
        <v>279.99</v>
      </c>
      <c r="C249" s="12" t="str">
        <f>HYPERLINK("https://costco.com","Costco")</f>
        <v>Costco</v>
      </c>
      <c r="D249" s="10" t="s">
        <v>61</v>
      </c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0" t="s">
        <v>287</v>
      </c>
      <c r="B250" s="11">
        <v>99.0</v>
      </c>
      <c r="C250" s="12" t="str">
        <f>HYPERLINK("https:samsclub.com","Sam's Club")</f>
        <v>Sam's Club</v>
      </c>
      <c r="D250" s="10" t="s">
        <v>288</v>
      </c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0" t="s">
        <v>289</v>
      </c>
      <c r="B251" s="11">
        <v>74.99</v>
      </c>
      <c r="C251" s="12" t="str">
        <f t="shared" ref="C251:C252" si="21">HYPERLINK("https://costco.com","Costco")</f>
        <v>Costco</v>
      </c>
      <c r="D251" s="10" t="s">
        <v>61</v>
      </c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0" t="s">
        <v>290</v>
      </c>
      <c r="B252" s="11">
        <v>119.99</v>
      </c>
      <c r="C252" s="12" t="str">
        <f t="shared" si="21"/>
        <v>Costco</v>
      </c>
      <c r="D252" s="10" t="s">
        <v>256</v>
      </c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0" t="s">
        <v>291</v>
      </c>
      <c r="B253" s="11">
        <v>879.0</v>
      </c>
      <c r="C253" s="12" t="str">
        <f>HYPERLINK("https:samsclub.com","Sam's Club")</f>
        <v>Sam's Club</v>
      </c>
      <c r="D253" s="10" t="s">
        <v>292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0" t="s">
        <v>293</v>
      </c>
      <c r="B254" s="11" t="s">
        <v>294</v>
      </c>
      <c r="C254" s="12" t="str">
        <f t="shared" ref="C254:C260" si="22">HYPERLINK("https://costco.com","Costco")</f>
        <v>Costco</v>
      </c>
      <c r="D254" s="10" t="s">
        <v>129</v>
      </c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0" t="s">
        <v>295</v>
      </c>
      <c r="B255" s="11">
        <v>319.99</v>
      </c>
      <c r="C255" s="12" t="str">
        <f t="shared" si="22"/>
        <v>Costco</v>
      </c>
      <c r="D255" s="10" t="s">
        <v>129</v>
      </c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0" t="s">
        <v>296</v>
      </c>
      <c r="B256" s="11">
        <v>219.99</v>
      </c>
      <c r="C256" s="12" t="str">
        <f t="shared" si="22"/>
        <v>Costco</v>
      </c>
      <c r="D256" s="10" t="s">
        <v>61</v>
      </c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0" t="s">
        <v>297</v>
      </c>
      <c r="B257" s="11">
        <v>74.99</v>
      </c>
      <c r="C257" s="12" t="str">
        <f t="shared" si="22"/>
        <v>Costco</v>
      </c>
      <c r="D257" s="10" t="s">
        <v>298</v>
      </c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0" t="s">
        <v>299</v>
      </c>
      <c r="B258" s="11">
        <v>39.99</v>
      </c>
      <c r="C258" s="12" t="str">
        <f t="shared" si="22"/>
        <v>Costco</v>
      </c>
      <c r="D258" s="10" t="s">
        <v>66</v>
      </c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0" t="s">
        <v>300</v>
      </c>
      <c r="B259" s="11">
        <v>339.99</v>
      </c>
      <c r="C259" s="12" t="str">
        <f t="shared" si="22"/>
        <v>Costco</v>
      </c>
      <c r="D259" s="10" t="s">
        <v>61</v>
      </c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0" t="s">
        <v>301</v>
      </c>
      <c r="B260" s="11">
        <v>179.99</v>
      </c>
      <c r="C260" s="12" t="str">
        <f t="shared" si="22"/>
        <v>Costco</v>
      </c>
      <c r="D260" s="10" t="s">
        <v>302</v>
      </c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0"/>
      <c r="B261" s="7"/>
      <c r="C261" s="10"/>
      <c r="D261" s="10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9" t="s">
        <v>303</v>
      </c>
      <c r="B262" s="7"/>
      <c r="C262" s="10"/>
      <c r="D262" s="10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0" t="s">
        <v>304</v>
      </c>
      <c r="B263" s="11" t="s">
        <v>305</v>
      </c>
      <c r="C263" s="12" t="str">
        <f t="shared" ref="C263:C271" si="23">HYPERLINK("https://shopstyle.it/l/ch41b","Target")</f>
        <v>Target</v>
      </c>
      <c r="D263" s="10" t="s">
        <v>9</v>
      </c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6" t="s">
        <v>306</v>
      </c>
      <c r="B264" s="11">
        <v>15.99</v>
      </c>
      <c r="C264" s="12" t="str">
        <f t="shared" si="23"/>
        <v>Target</v>
      </c>
      <c r="D264" s="10" t="s">
        <v>307</v>
      </c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6" t="s">
        <v>308</v>
      </c>
      <c r="B265" s="11">
        <v>23.1</v>
      </c>
      <c r="C265" s="12" t="str">
        <f t="shared" si="23"/>
        <v>Target</v>
      </c>
      <c r="D265" s="10" t="s">
        <v>9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0" t="s">
        <v>309</v>
      </c>
      <c r="B266" s="11">
        <v>22.4</v>
      </c>
      <c r="C266" s="12" t="str">
        <f t="shared" si="23"/>
        <v>Target</v>
      </c>
      <c r="D266" s="10" t="s">
        <v>9</v>
      </c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0" t="s">
        <v>310</v>
      </c>
      <c r="B267" s="11">
        <v>38.5</v>
      </c>
      <c r="C267" s="12" t="str">
        <f t="shared" si="23"/>
        <v>Target</v>
      </c>
      <c r="D267" s="10" t="s">
        <v>9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6" t="s">
        <v>311</v>
      </c>
      <c r="B268" s="11">
        <v>23.09</v>
      </c>
      <c r="C268" s="12" t="str">
        <f t="shared" si="23"/>
        <v>Target</v>
      </c>
      <c r="D268" s="10" t="s">
        <v>312</v>
      </c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7" t="s">
        <v>313</v>
      </c>
      <c r="B269" s="11">
        <v>15.99</v>
      </c>
      <c r="C269" s="12" t="str">
        <f t="shared" si="23"/>
        <v>Target</v>
      </c>
      <c r="D269" s="10" t="s">
        <v>314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0" t="s">
        <v>315</v>
      </c>
      <c r="B270" s="11">
        <v>14.99</v>
      </c>
      <c r="C270" s="12" t="str">
        <f t="shared" si="23"/>
        <v>Target</v>
      </c>
      <c r="D270" s="10" t="s">
        <v>9</v>
      </c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0" t="s">
        <v>316</v>
      </c>
      <c r="B271" s="11">
        <v>20.29</v>
      </c>
      <c r="C271" s="12" t="str">
        <f t="shared" si="23"/>
        <v>Target</v>
      </c>
      <c r="D271" s="10" t="s">
        <v>317</v>
      </c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0"/>
      <c r="B272" s="7"/>
      <c r="C272" s="10"/>
      <c r="D272" s="10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8" t="s">
        <v>318</v>
      </c>
      <c r="B273" s="7"/>
      <c r="C273" s="10"/>
      <c r="D273" s="10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9" t="s">
        <v>319</v>
      </c>
      <c r="B274" s="7"/>
      <c r="C274" s="10"/>
      <c r="D274" s="10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0" t="s">
        <v>320</v>
      </c>
      <c r="B275" s="11">
        <v>69.99</v>
      </c>
      <c r="C275" s="12" t="str">
        <f>HYPERLINK("https://shopstyle.it/l/ch41b","Target")</f>
        <v>Target</v>
      </c>
      <c r="D275" s="10" t="s">
        <v>321</v>
      </c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0" t="s">
        <v>322</v>
      </c>
      <c r="B276" s="11">
        <v>479.99</v>
      </c>
      <c r="C276" s="12" t="str">
        <f>HYPERLINK("https://costco.com","Costco")</f>
        <v>Costco</v>
      </c>
      <c r="D276" s="10" t="s">
        <v>129</v>
      </c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0"/>
      <c r="B277" s="7"/>
      <c r="C277" s="10"/>
      <c r="D277" s="10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9" t="s">
        <v>323</v>
      </c>
      <c r="B278" s="7"/>
      <c r="C278" s="10"/>
      <c r="D278" s="10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0" t="s">
        <v>324</v>
      </c>
      <c r="B279" s="11">
        <v>69.99</v>
      </c>
      <c r="C279" s="12" t="str">
        <f>HYPERLINK("https://shopstyle.it/l/ch41b","Target")</f>
        <v>Target</v>
      </c>
      <c r="D279" s="10" t="s">
        <v>321</v>
      </c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0"/>
      <c r="B280" s="7"/>
      <c r="C280" s="10"/>
      <c r="D280" s="10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9" t="s">
        <v>325</v>
      </c>
      <c r="B281" s="7"/>
      <c r="C281" s="10"/>
      <c r="D281" s="10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0" t="s">
        <v>326</v>
      </c>
      <c r="B282" s="11">
        <v>59.99</v>
      </c>
      <c r="C282" s="12" t="str">
        <f t="shared" ref="C282:C284" si="24">HYPERLINK("https://shopstyle.it/l/ch41b","Target")</f>
        <v>Target</v>
      </c>
      <c r="D282" s="10" t="s">
        <v>321</v>
      </c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0" t="s">
        <v>327</v>
      </c>
      <c r="B283" s="11">
        <v>39.99</v>
      </c>
      <c r="C283" s="12" t="str">
        <f t="shared" si="24"/>
        <v>Target</v>
      </c>
      <c r="D283" s="10" t="s">
        <v>328</v>
      </c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0" t="s">
        <v>329</v>
      </c>
      <c r="B284" s="11">
        <v>59.99</v>
      </c>
      <c r="C284" s="12" t="str">
        <f t="shared" si="24"/>
        <v>Target</v>
      </c>
      <c r="D284" s="10" t="s">
        <v>328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0"/>
      <c r="B285" s="7"/>
      <c r="C285" s="10"/>
      <c r="D285" s="10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9" t="s">
        <v>330</v>
      </c>
      <c r="B286" s="7"/>
      <c r="C286" s="10"/>
      <c r="D286" s="10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0" t="s">
        <v>331</v>
      </c>
      <c r="B287" s="11">
        <v>99.99</v>
      </c>
      <c r="C287" s="12" t="str">
        <f>HYPERLINK("https://shopstyle.it/l/ch41b","Target")</f>
        <v>Target</v>
      </c>
      <c r="D287" s="10" t="s">
        <v>9</v>
      </c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0"/>
      <c r="B288" s="7"/>
      <c r="C288" s="10"/>
      <c r="D288" s="10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9" t="s">
        <v>332</v>
      </c>
      <c r="B289" s="7"/>
      <c r="C289" s="10"/>
      <c r="D289" s="10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0" t="s">
        <v>333</v>
      </c>
      <c r="B290" s="11">
        <v>249.99</v>
      </c>
      <c r="C290" s="12" t="str">
        <f t="shared" ref="C290:C291" si="25">HYPERLINK("https://costco.com","Costco")</f>
        <v>Costco</v>
      </c>
      <c r="D290" s="10" t="s">
        <v>70</v>
      </c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0" t="s">
        <v>334</v>
      </c>
      <c r="B291" s="11">
        <v>249.99</v>
      </c>
      <c r="C291" s="12" t="str">
        <f t="shared" si="25"/>
        <v>Costco</v>
      </c>
      <c r="D291" s="10" t="s">
        <v>70</v>
      </c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0"/>
      <c r="B292" s="7"/>
      <c r="C292" s="10"/>
      <c r="D292" s="10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8" t="s">
        <v>335</v>
      </c>
      <c r="B293" s="7"/>
      <c r="C293" s="10"/>
      <c r="D293" s="10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0" t="s">
        <v>336</v>
      </c>
      <c r="B294" s="11">
        <v>74.99</v>
      </c>
      <c r="C294" s="12" t="str">
        <f t="shared" ref="C294:C296" si="26">HYPERLINK("https://costco.com","Costco")</f>
        <v>Costco</v>
      </c>
      <c r="D294" s="10" t="s">
        <v>337</v>
      </c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0" t="s">
        <v>338</v>
      </c>
      <c r="B295" s="11">
        <v>74.99</v>
      </c>
      <c r="C295" s="12" t="str">
        <f t="shared" si="26"/>
        <v>Costco</v>
      </c>
      <c r="D295" s="10" t="s">
        <v>337</v>
      </c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0" t="s">
        <v>339</v>
      </c>
      <c r="B296" s="11">
        <v>74.99</v>
      </c>
      <c r="C296" s="12" t="str">
        <f t="shared" si="26"/>
        <v>Costco</v>
      </c>
      <c r="D296" s="10" t="s">
        <v>337</v>
      </c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0"/>
      <c r="B297" s="7"/>
      <c r="C297" s="10"/>
      <c r="D297" s="10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8" t="s">
        <v>340</v>
      </c>
      <c r="B298" s="7"/>
      <c r="C298" s="10"/>
      <c r="D298" s="10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0" t="s">
        <v>341</v>
      </c>
      <c r="B299" s="11">
        <v>1249.0</v>
      </c>
      <c r="C299" s="12" t="str">
        <f t="shared" ref="C299:C300" si="27">HYPERLINK("https://brandcycle.shop/9dmst","Ace Hardware")</f>
        <v>Ace Hardware</v>
      </c>
      <c r="D299" s="10" t="s">
        <v>266</v>
      </c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0" t="s">
        <v>342</v>
      </c>
      <c r="B300" s="11">
        <v>1799.0</v>
      </c>
      <c r="C300" s="12" t="str">
        <f t="shared" si="27"/>
        <v>Ace Hardware</v>
      </c>
      <c r="D300" s="10" t="s">
        <v>266</v>
      </c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0" t="s">
        <v>343</v>
      </c>
      <c r="B301" s="11">
        <v>19.88</v>
      </c>
      <c r="C301" s="12" t="str">
        <f t="shared" ref="C301:C302" si="28">HYPERLINK("https://go.magik.ly/ml/sfil/","Home Depot")</f>
        <v>Home Depot</v>
      </c>
      <c r="D301" s="10" t="s">
        <v>344</v>
      </c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0" t="s">
        <v>345</v>
      </c>
      <c r="B302" s="11">
        <v>19.88</v>
      </c>
      <c r="C302" s="12" t="str">
        <f t="shared" si="28"/>
        <v>Home Depot</v>
      </c>
      <c r="D302" s="10" t="s">
        <v>344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0" t="s">
        <v>346</v>
      </c>
      <c r="B303" s="11" t="s">
        <v>347</v>
      </c>
      <c r="C303" s="12" t="str">
        <f t="shared" ref="C303:C318" si="29">HYPERLINK("https://brandcycle.shop/9dmst","Ace Hardware")</f>
        <v>Ace Hardware</v>
      </c>
      <c r="D303" s="10" t="s">
        <v>348</v>
      </c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0" t="s">
        <v>349</v>
      </c>
      <c r="B304" s="11">
        <v>14.99</v>
      </c>
      <c r="C304" s="12" t="str">
        <f t="shared" si="29"/>
        <v>Ace Hardware</v>
      </c>
      <c r="D304" s="10" t="s">
        <v>266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0" t="s">
        <v>350</v>
      </c>
      <c r="B305" s="11">
        <v>59.99</v>
      </c>
      <c r="C305" s="12" t="str">
        <f t="shared" si="29"/>
        <v>Ace Hardware</v>
      </c>
      <c r="D305" s="10" t="s">
        <v>351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0" t="s">
        <v>352</v>
      </c>
      <c r="B306" s="11" t="s">
        <v>347</v>
      </c>
      <c r="C306" s="12" t="str">
        <f t="shared" si="29"/>
        <v>Ace Hardware</v>
      </c>
      <c r="D306" s="10" t="s">
        <v>348</v>
      </c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0" t="s">
        <v>353</v>
      </c>
      <c r="B307" s="11">
        <v>14.99</v>
      </c>
      <c r="C307" s="12" t="str">
        <f t="shared" si="29"/>
        <v>Ace Hardware</v>
      </c>
      <c r="D307" s="10" t="s">
        <v>266</v>
      </c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0" t="s">
        <v>354</v>
      </c>
      <c r="B308" s="11">
        <v>14.99</v>
      </c>
      <c r="C308" s="12" t="str">
        <f t="shared" si="29"/>
        <v>Ace Hardware</v>
      </c>
      <c r="D308" s="10" t="s">
        <v>266</v>
      </c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0" t="s">
        <v>355</v>
      </c>
      <c r="B309" s="11" t="s">
        <v>347</v>
      </c>
      <c r="C309" s="12" t="str">
        <f t="shared" si="29"/>
        <v>Ace Hardware</v>
      </c>
      <c r="D309" s="10" t="s">
        <v>348</v>
      </c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0" t="s">
        <v>356</v>
      </c>
      <c r="B310" s="11">
        <v>69.99</v>
      </c>
      <c r="C310" s="12" t="str">
        <f t="shared" si="29"/>
        <v>Ace Hardware</v>
      </c>
      <c r="D310" s="10" t="s">
        <v>266</v>
      </c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0" t="s">
        <v>357</v>
      </c>
      <c r="B311" s="11">
        <v>69.99</v>
      </c>
      <c r="C311" s="12" t="str">
        <f t="shared" si="29"/>
        <v>Ace Hardware</v>
      </c>
      <c r="D311" s="10" t="s">
        <v>266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0" t="s">
        <v>358</v>
      </c>
      <c r="B312" s="11">
        <v>69.99</v>
      </c>
      <c r="C312" s="12" t="str">
        <f t="shared" si="29"/>
        <v>Ace Hardware</v>
      </c>
      <c r="D312" s="10" t="s">
        <v>266</v>
      </c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0" t="s">
        <v>359</v>
      </c>
      <c r="B313" s="11">
        <v>14.99</v>
      </c>
      <c r="C313" s="12" t="str">
        <f t="shared" si="29"/>
        <v>Ace Hardware</v>
      </c>
      <c r="D313" s="10" t="s">
        <v>266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0" t="s">
        <v>360</v>
      </c>
      <c r="B314" s="11" t="s">
        <v>347</v>
      </c>
      <c r="C314" s="12" t="str">
        <f t="shared" si="29"/>
        <v>Ace Hardware</v>
      </c>
      <c r="D314" s="10" t="s">
        <v>348</v>
      </c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0" t="s">
        <v>361</v>
      </c>
      <c r="B315" s="11">
        <v>99.0</v>
      </c>
      <c r="C315" s="12" t="str">
        <f t="shared" si="29"/>
        <v>Ace Hardware</v>
      </c>
      <c r="D315" s="10" t="s">
        <v>362</v>
      </c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0" t="s">
        <v>363</v>
      </c>
      <c r="B316" s="11">
        <v>179.0</v>
      </c>
      <c r="C316" s="12" t="str">
        <f t="shared" si="29"/>
        <v>Ace Hardware</v>
      </c>
      <c r="D316" s="10" t="s">
        <v>364</v>
      </c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0" t="s">
        <v>365</v>
      </c>
      <c r="B317" s="11" t="s">
        <v>366</v>
      </c>
      <c r="C317" s="12" t="str">
        <f t="shared" si="29"/>
        <v>Ace Hardware</v>
      </c>
      <c r="D317" s="10" t="s">
        <v>348</v>
      </c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0" t="s">
        <v>367</v>
      </c>
      <c r="B318" s="11">
        <v>149.0</v>
      </c>
      <c r="C318" s="12" t="str">
        <f t="shared" si="29"/>
        <v>Ace Hardware</v>
      </c>
      <c r="D318" s="10" t="s">
        <v>266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0" t="s">
        <v>368</v>
      </c>
      <c r="B319" s="11">
        <v>22.97</v>
      </c>
      <c r="C319" s="12" t="str">
        <f t="shared" ref="C319:C321" si="30">HYPERLINK("https://go.magik.ly/ml/sfil/","Home Depot")</f>
        <v>Home Depot</v>
      </c>
      <c r="D319" s="10" t="s">
        <v>251</v>
      </c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0" t="s">
        <v>369</v>
      </c>
      <c r="B320" s="11">
        <v>13.97</v>
      </c>
      <c r="C320" s="12" t="str">
        <f t="shared" si="30"/>
        <v>Home Depot</v>
      </c>
      <c r="D320" s="10" t="s">
        <v>370</v>
      </c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0" t="s">
        <v>371</v>
      </c>
      <c r="B321" s="11">
        <v>199.0</v>
      </c>
      <c r="C321" s="12" t="str">
        <f t="shared" si="30"/>
        <v>Home Depot</v>
      </c>
      <c r="D321" s="10" t="s">
        <v>372</v>
      </c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0" t="s">
        <v>373</v>
      </c>
      <c r="B322" s="11">
        <v>129.0</v>
      </c>
      <c r="C322" s="12" t="str">
        <f t="shared" ref="C322:C334" si="31">HYPERLINK("https://brandcycle.shop/9dmst","Ace Hardware")</f>
        <v>Ace Hardware</v>
      </c>
      <c r="D322" s="10" t="s">
        <v>374</v>
      </c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0" t="s">
        <v>375</v>
      </c>
      <c r="B323" s="11" t="s">
        <v>376</v>
      </c>
      <c r="C323" s="12" t="str">
        <f t="shared" si="31"/>
        <v>Ace Hardware</v>
      </c>
      <c r="D323" s="10" t="s">
        <v>377</v>
      </c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0" t="s">
        <v>378</v>
      </c>
      <c r="B324" s="11" t="s">
        <v>379</v>
      </c>
      <c r="C324" s="12" t="str">
        <f t="shared" si="31"/>
        <v>Ace Hardware</v>
      </c>
      <c r="D324" s="10" t="s">
        <v>380</v>
      </c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0" t="s">
        <v>381</v>
      </c>
      <c r="B325" s="11" t="s">
        <v>379</v>
      </c>
      <c r="C325" s="12" t="str">
        <f t="shared" si="31"/>
        <v>Ace Hardware</v>
      </c>
      <c r="D325" s="15" t="s">
        <v>382</v>
      </c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0" t="s">
        <v>383</v>
      </c>
      <c r="B326" s="11" t="s">
        <v>376</v>
      </c>
      <c r="C326" s="12" t="str">
        <f t="shared" si="31"/>
        <v>Ace Hardware</v>
      </c>
      <c r="D326" s="10" t="s">
        <v>377</v>
      </c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0" t="s">
        <v>384</v>
      </c>
      <c r="B327" s="11" t="s">
        <v>376</v>
      </c>
      <c r="C327" s="12" t="str">
        <f t="shared" si="31"/>
        <v>Ace Hardware</v>
      </c>
      <c r="D327" s="10" t="s">
        <v>377</v>
      </c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0" t="s">
        <v>385</v>
      </c>
      <c r="B328" s="11" t="s">
        <v>376</v>
      </c>
      <c r="C328" s="12" t="str">
        <f t="shared" si="31"/>
        <v>Ace Hardware</v>
      </c>
      <c r="D328" s="10" t="s">
        <v>377</v>
      </c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0" t="s">
        <v>386</v>
      </c>
      <c r="B329" s="11">
        <v>129.0</v>
      </c>
      <c r="C329" s="12" t="str">
        <f t="shared" si="31"/>
        <v>Ace Hardware</v>
      </c>
      <c r="D329" s="10" t="s">
        <v>374</v>
      </c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0" t="s">
        <v>387</v>
      </c>
      <c r="B330" s="11">
        <v>129.0</v>
      </c>
      <c r="C330" s="12" t="str">
        <f t="shared" si="31"/>
        <v>Ace Hardware</v>
      </c>
      <c r="D330" s="10" t="s">
        <v>374</v>
      </c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0" t="s">
        <v>388</v>
      </c>
      <c r="B331" s="11">
        <v>149.0</v>
      </c>
      <c r="C331" s="12" t="str">
        <f t="shared" si="31"/>
        <v>Ace Hardware</v>
      </c>
      <c r="D331" s="10" t="s">
        <v>389</v>
      </c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0" t="s">
        <v>390</v>
      </c>
      <c r="B332" s="11">
        <v>129.0</v>
      </c>
      <c r="C332" s="12" t="str">
        <f t="shared" si="31"/>
        <v>Ace Hardware</v>
      </c>
      <c r="D332" s="10" t="s">
        <v>374</v>
      </c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0" t="s">
        <v>391</v>
      </c>
      <c r="B333" s="11">
        <v>229.0</v>
      </c>
      <c r="C333" s="12" t="str">
        <f t="shared" si="31"/>
        <v>Ace Hardware</v>
      </c>
      <c r="D333" s="10" t="s">
        <v>392</v>
      </c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0" t="s">
        <v>393</v>
      </c>
      <c r="B334" s="11">
        <v>19.99</v>
      </c>
      <c r="C334" s="12" t="str">
        <f t="shared" si="31"/>
        <v>Ace Hardware</v>
      </c>
      <c r="D334" s="10" t="s">
        <v>348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0" t="s">
        <v>394</v>
      </c>
      <c r="B335" s="11">
        <v>19.88</v>
      </c>
      <c r="C335" s="12" t="str">
        <f t="shared" ref="C335:C337" si="32">HYPERLINK("https://go.magik.ly/ml/sfil/","Home Depot")</f>
        <v>Home Depot</v>
      </c>
      <c r="D335" s="10" t="s">
        <v>248</v>
      </c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0" t="s">
        <v>395</v>
      </c>
      <c r="B336" s="11">
        <v>169.0</v>
      </c>
      <c r="C336" s="12" t="str">
        <f t="shared" si="32"/>
        <v>Home Depot</v>
      </c>
      <c r="D336" s="10" t="s">
        <v>396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0" t="s">
        <v>397</v>
      </c>
      <c r="B337" s="11">
        <v>319.0</v>
      </c>
      <c r="C337" s="12" t="str">
        <f t="shared" si="32"/>
        <v>Home Depot</v>
      </c>
      <c r="D337" s="10" t="s">
        <v>398</v>
      </c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0" t="s">
        <v>399</v>
      </c>
      <c r="B338" s="11">
        <v>19.99</v>
      </c>
      <c r="C338" s="12" t="str">
        <f t="shared" ref="C338:C339" si="33">HYPERLINK("https://brandcycle.shop/9dmst","Ace Hardware")</f>
        <v>Ace Hardware</v>
      </c>
      <c r="D338" s="10" t="s">
        <v>348</v>
      </c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0" t="s">
        <v>400</v>
      </c>
      <c r="B339" s="11">
        <v>9.99</v>
      </c>
      <c r="C339" s="12" t="str">
        <f t="shared" si="33"/>
        <v>Ace Hardware</v>
      </c>
      <c r="D339" s="10" t="s">
        <v>266</v>
      </c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0" t="s">
        <v>401</v>
      </c>
      <c r="B340" s="11">
        <v>369.0</v>
      </c>
      <c r="C340" s="12" t="str">
        <f t="shared" ref="C340:C341" si="34">HYPERLINK("https://go.magik.ly/ml/sfil/","Home Depot")</f>
        <v>Home Depot</v>
      </c>
      <c r="D340" s="10" t="s">
        <v>344</v>
      </c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0" t="s">
        <v>402</v>
      </c>
      <c r="B341" s="11">
        <v>19.88</v>
      </c>
      <c r="C341" s="12" t="str">
        <f t="shared" si="34"/>
        <v>Home Depot</v>
      </c>
      <c r="D341" s="10" t="s">
        <v>248</v>
      </c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0" t="s">
        <v>403</v>
      </c>
      <c r="B342" s="11">
        <v>9.99</v>
      </c>
      <c r="C342" s="12" t="str">
        <f t="shared" ref="C342:C343" si="35">HYPERLINK("https://brandcycle.shop/9dmst","Ace Hardware")</f>
        <v>Ace Hardware</v>
      </c>
      <c r="D342" s="10" t="s">
        <v>266</v>
      </c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0" t="s">
        <v>404</v>
      </c>
      <c r="B343" s="11">
        <v>19.99</v>
      </c>
      <c r="C343" s="12" t="str">
        <f t="shared" si="35"/>
        <v>Ace Hardware</v>
      </c>
      <c r="D343" s="10" t="s">
        <v>348</v>
      </c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0" t="s">
        <v>405</v>
      </c>
      <c r="B344" s="11">
        <v>13.97</v>
      </c>
      <c r="C344" s="12" t="str">
        <f t="shared" ref="C344:C345" si="36">HYPERLINK("https://go.magik.ly/ml/sfil/","Home Depot")</f>
        <v>Home Depot</v>
      </c>
      <c r="D344" s="10" t="s">
        <v>370</v>
      </c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0" t="s">
        <v>406</v>
      </c>
      <c r="B345" s="11">
        <v>9.97</v>
      </c>
      <c r="C345" s="12" t="str">
        <f t="shared" si="36"/>
        <v>Home Depot</v>
      </c>
      <c r="D345" s="10" t="s">
        <v>248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0" t="s">
        <v>407</v>
      </c>
      <c r="B346" s="11">
        <v>19.99</v>
      </c>
      <c r="C346" s="12" t="str">
        <f>HYPERLINK("https://brandcycle.shop/9dmst","Ace Hardware")</f>
        <v>Ace Hardware</v>
      </c>
      <c r="D346" s="10" t="s">
        <v>348</v>
      </c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0" t="s">
        <v>408</v>
      </c>
      <c r="B347" s="11">
        <v>44.98</v>
      </c>
      <c r="C347" s="12" t="str">
        <f t="shared" ref="C347:C350" si="37">HYPERLINK("https://go.magik.ly/ml/sfil/","Home Depot")</f>
        <v>Home Depot</v>
      </c>
      <c r="D347" s="10" t="s">
        <v>251</v>
      </c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0" t="s">
        <v>409</v>
      </c>
      <c r="B348" s="11">
        <v>119.0</v>
      </c>
      <c r="C348" s="12" t="str">
        <f t="shared" si="37"/>
        <v>Home Depot</v>
      </c>
      <c r="D348" s="10" t="s">
        <v>251</v>
      </c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0" t="s">
        <v>410</v>
      </c>
      <c r="B349" s="11">
        <v>89.98</v>
      </c>
      <c r="C349" s="12" t="str">
        <f t="shared" si="37"/>
        <v>Home Depot</v>
      </c>
      <c r="D349" s="10" t="s">
        <v>251</v>
      </c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0" t="s">
        <v>411</v>
      </c>
      <c r="B350" s="11">
        <v>99.0</v>
      </c>
      <c r="C350" s="12" t="str">
        <f t="shared" si="37"/>
        <v>Home Depot</v>
      </c>
      <c r="D350" s="10" t="s">
        <v>370</v>
      </c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0" t="s">
        <v>412</v>
      </c>
      <c r="B351" s="11" t="s">
        <v>413</v>
      </c>
      <c r="C351" s="12" t="str">
        <f t="shared" ref="C351:C352" si="38">HYPERLINK("https://brandcycle.shop/9dmst","Ace Hardware")</f>
        <v>Ace Hardware</v>
      </c>
      <c r="D351" s="10" t="s">
        <v>414</v>
      </c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0" t="s">
        <v>415</v>
      </c>
      <c r="B352" s="11" t="s">
        <v>413</v>
      </c>
      <c r="C352" s="12" t="str">
        <f t="shared" si="38"/>
        <v>Ace Hardware</v>
      </c>
      <c r="D352" s="10" t="s">
        <v>414</v>
      </c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0" t="s">
        <v>416</v>
      </c>
      <c r="B353" s="11">
        <v>189.99</v>
      </c>
      <c r="C353" s="12" t="str">
        <f>HYPERLINK("https://costco.com","Costco")</f>
        <v>Costco</v>
      </c>
      <c r="D353" s="10" t="s">
        <v>417</v>
      </c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0" t="s">
        <v>418</v>
      </c>
      <c r="B354" s="11" t="s">
        <v>419</v>
      </c>
      <c r="C354" s="12" t="str">
        <f t="shared" ref="C354:C357" si="39">HYPERLINK("https://brandcycle.shop/9dmst","Ace Hardware")</f>
        <v>Ace Hardware</v>
      </c>
      <c r="D354" s="10" t="s">
        <v>348</v>
      </c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0" t="s">
        <v>420</v>
      </c>
      <c r="B355" s="11" t="s">
        <v>376</v>
      </c>
      <c r="C355" s="12" t="str">
        <f t="shared" si="39"/>
        <v>Ace Hardware</v>
      </c>
      <c r="D355" s="10" t="s">
        <v>348</v>
      </c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0" t="s">
        <v>421</v>
      </c>
      <c r="B356" s="11" t="s">
        <v>422</v>
      </c>
      <c r="C356" s="12" t="str">
        <f t="shared" si="39"/>
        <v>Ace Hardware</v>
      </c>
      <c r="D356" s="10" t="s">
        <v>348</v>
      </c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0" t="s">
        <v>423</v>
      </c>
      <c r="B357" s="11">
        <v>249.0</v>
      </c>
      <c r="C357" s="12" t="str">
        <f t="shared" si="39"/>
        <v>Ace Hardware</v>
      </c>
      <c r="D357" s="10" t="s">
        <v>424</v>
      </c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0" t="s">
        <v>425</v>
      </c>
      <c r="B358" s="11" t="s">
        <v>426</v>
      </c>
      <c r="C358" s="12" t="str">
        <f>HYPERLINK("https://costco.com","Costco")</f>
        <v>Costco</v>
      </c>
      <c r="D358" s="10" t="s">
        <v>61</v>
      </c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0" t="s">
        <v>427</v>
      </c>
      <c r="B359" s="11">
        <v>189.0</v>
      </c>
      <c r="C359" s="12" t="str">
        <f>HYPERLINK("https://go.magik.ly/ml/sfil/","Home Depot")</f>
        <v>Home Depot</v>
      </c>
      <c r="D359" s="10" t="s">
        <v>344</v>
      </c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0" t="s">
        <v>428</v>
      </c>
      <c r="B360" s="11">
        <v>239.99</v>
      </c>
      <c r="C360" s="12" t="str">
        <f>HYPERLINK("https://costco.com","Costco")</f>
        <v>Costco</v>
      </c>
      <c r="D360" s="10" t="s">
        <v>417</v>
      </c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0" t="s">
        <v>429</v>
      </c>
      <c r="B361" s="11">
        <v>13.98</v>
      </c>
      <c r="C361" s="12" t="str">
        <f t="shared" ref="C361:C391" si="40">HYPERLINK("https://go.magik.ly/ml/sfil/","Home Depot")</f>
        <v>Home Depot</v>
      </c>
      <c r="D361" s="10" t="s">
        <v>251</v>
      </c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0" t="s">
        <v>430</v>
      </c>
      <c r="B362" s="11">
        <v>9.88</v>
      </c>
      <c r="C362" s="12" t="str">
        <f t="shared" si="40"/>
        <v>Home Depot</v>
      </c>
      <c r="D362" s="10" t="s">
        <v>251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0" t="s">
        <v>431</v>
      </c>
      <c r="B363" s="11">
        <v>9.98</v>
      </c>
      <c r="C363" s="12" t="str">
        <f t="shared" si="40"/>
        <v>Home Depot</v>
      </c>
      <c r="D363" s="10" t="s">
        <v>251</v>
      </c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0" t="s">
        <v>432</v>
      </c>
      <c r="B364" s="11">
        <v>7.98</v>
      </c>
      <c r="C364" s="12" t="str">
        <f t="shared" si="40"/>
        <v>Home Depot</v>
      </c>
      <c r="D364" s="10" t="s">
        <v>251</v>
      </c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0" t="s">
        <v>433</v>
      </c>
      <c r="B365" s="11">
        <v>24.88</v>
      </c>
      <c r="C365" s="12" t="str">
        <f t="shared" si="40"/>
        <v>Home Depot</v>
      </c>
      <c r="D365" s="10" t="s">
        <v>251</v>
      </c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0" t="s">
        <v>434</v>
      </c>
      <c r="B366" s="11">
        <v>149.0</v>
      </c>
      <c r="C366" s="12" t="str">
        <f t="shared" si="40"/>
        <v>Home Depot</v>
      </c>
      <c r="D366" s="10" t="s">
        <v>435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0" t="s">
        <v>436</v>
      </c>
      <c r="B367" s="11">
        <v>24.97</v>
      </c>
      <c r="C367" s="12" t="str">
        <f t="shared" si="40"/>
        <v>Home Depot</v>
      </c>
      <c r="D367" s="10" t="s">
        <v>370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0" t="s">
        <v>437</v>
      </c>
      <c r="B368" s="11">
        <v>199.0</v>
      </c>
      <c r="C368" s="12" t="str">
        <f t="shared" si="40"/>
        <v>Home Depot</v>
      </c>
      <c r="D368" s="10" t="s">
        <v>251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0" t="s">
        <v>438</v>
      </c>
      <c r="B369" s="11">
        <v>29.97</v>
      </c>
      <c r="C369" s="12" t="str">
        <f t="shared" si="40"/>
        <v>Home Depot</v>
      </c>
      <c r="D369" s="10" t="s">
        <v>251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0" t="s">
        <v>439</v>
      </c>
      <c r="B370" s="11">
        <v>548.0</v>
      </c>
      <c r="C370" s="12" t="str">
        <f t="shared" si="40"/>
        <v>Home Depot</v>
      </c>
      <c r="D370" s="10" t="s">
        <v>440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0" t="s">
        <v>441</v>
      </c>
      <c r="B371" s="11">
        <v>348.0</v>
      </c>
      <c r="C371" s="12" t="str">
        <f t="shared" si="40"/>
        <v>Home Depot</v>
      </c>
      <c r="D371" s="10" t="s">
        <v>251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0" t="s">
        <v>442</v>
      </c>
      <c r="B372" s="11">
        <v>149.0</v>
      </c>
      <c r="C372" s="12" t="str">
        <f t="shared" si="40"/>
        <v>Home Depot</v>
      </c>
      <c r="D372" s="10" t="s">
        <v>251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0" t="s">
        <v>443</v>
      </c>
      <c r="B373" s="11">
        <v>498.0</v>
      </c>
      <c r="C373" s="12" t="str">
        <f t="shared" si="40"/>
        <v>Home Depot</v>
      </c>
      <c r="D373" s="10" t="s">
        <v>444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0" t="s">
        <v>445</v>
      </c>
      <c r="B374" s="11">
        <v>898.0</v>
      </c>
      <c r="C374" s="12" t="str">
        <f t="shared" si="40"/>
        <v>Home Depot</v>
      </c>
      <c r="D374" s="10" t="s">
        <v>435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0" t="s">
        <v>446</v>
      </c>
      <c r="B375" s="11">
        <v>4.97</v>
      </c>
      <c r="C375" s="12" t="str">
        <f t="shared" si="40"/>
        <v>Home Depot</v>
      </c>
      <c r="D375" s="10" t="s">
        <v>370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0" t="s">
        <v>447</v>
      </c>
      <c r="B376" s="11">
        <v>24.88</v>
      </c>
      <c r="C376" s="12" t="str">
        <f t="shared" si="40"/>
        <v>Home Depot</v>
      </c>
      <c r="D376" s="10" t="s">
        <v>344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0" t="s">
        <v>448</v>
      </c>
      <c r="B377" s="11">
        <v>24.88</v>
      </c>
      <c r="C377" s="12" t="str">
        <f t="shared" si="40"/>
        <v>Home Depot</v>
      </c>
      <c r="D377" s="10" t="s">
        <v>251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0" t="s">
        <v>449</v>
      </c>
      <c r="B378" s="11">
        <v>13.97</v>
      </c>
      <c r="C378" s="12" t="str">
        <f t="shared" si="40"/>
        <v>Home Depot</v>
      </c>
      <c r="D378" s="10" t="s">
        <v>370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0" t="s">
        <v>450</v>
      </c>
      <c r="B379" s="11">
        <v>19.97</v>
      </c>
      <c r="C379" s="12" t="str">
        <f t="shared" si="40"/>
        <v>Home Depot</v>
      </c>
      <c r="D379" s="10" t="s">
        <v>370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0" t="s">
        <v>451</v>
      </c>
      <c r="B380" s="11">
        <v>4.97</v>
      </c>
      <c r="C380" s="12" t="str">
        <f t="shared" si="40"/>
        <v>Home Depot</v>
      </c>
      <c r="D380" s="10" t="s">
        <v>370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0" t="s">
        <v>452</v>
      </c>
      <c r="B381" s="11">
        <v>99.0</v>
      </c>
      <c r="C381" s="12" t="str">
        <f t="shared" si="40"/>
        <v>Home Depot</v>
      </c>
      <c r="D381" s="10" t="s">
        <v>344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0" t="s">
        <v>453</v>
      </c>
      <c r="B382" s="11">
        <v>49.97</v>
      </c>
      <c r="C382" s="12" t="str">
        <f t="shared" si="40"/>
        <v>Home Depot</v>
      </c>
      <c r="D382" s="10" t="s">
        <v>370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0" t="s">
        <v>454</v>
      </c>
      <c r="B383" s="11">
        <v>24.97</v>
      </c>
      <c r="C383" s="12" t="str">
        <f t="shared" si="40"/>
        <v>Home Depot</v>
      </c>
      <c r="D383" s="10" t="s">
        <v>370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0" t="s">
        <v>455</v>
      </c>
      <c r="B384" s="11">
        <v>24.97</v>
      </c>
      <c r="C384" s="12" t="str">
        <f t="shared" si="40"/>
        <v>Home Depot</v>
      </c>
      <c r="D384" s="10" t="s">
        <v>370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0" t="s">
        <v>456</v>
      </c>
      <c r="B385" s="11">
        <v>9.88</v>
      </c>
      <c r="C385" s="12" t="str">
        <f t="shared" si="40"/>
        <v>Home Depot</v>
      </c>
      <c r="D385" s="10" t="s">
        <v>251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0" t="s">
        <v>457</v>
      </c>
      <c r="B386" s="11">
        <v>19.97</v>
      </c>
      <c r="C386" s="12" t="str">
        <f t="shared" si="40"/>
        <v>Home Depot</v>
      </c>
      <c r="D386" s="10" t="s">
        <v>370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0" t="s">
        <v>458</v>
      </c>
      <c r="B387" s="11">
        <v>169.0</v>
      </c>
      <c r="C387" s="12" t="str">
        <f t="shared" si="40"/>
        <v>Home Depot</v>
      </c>
      <c r="D387" s="10" t="s">
        <v>370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0" t="s">
        <v>459</v>
      </c>
      <c r="B388" s="11">
        <v>199.0</v>
      </c>
      <c r="C388" s="12" t="str">
        <f t="shared" si="40"/>
        <v>Home Depot</v>
      </c>
      <c r="D388" s="10" t="s">
        <v>460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0" t="s">
        <v>461</v>
      </c>
      <c r="B389" s="11">
        <v>199.0</v>
      </c>
      <c r="C389" s="12" t="str">
        <f t="shared" si="40"/>
        <v>Home Depot</v>
      </c>
      <c r="D389" s="10" t="s">
        <v>344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0" t="s">
        <v>462</v>
      </c>
      <c r="B390" s="11">
        <v>19.97</v>
      </c>
      <c r="C390" s="12" t="str">
        <f t="shared" si="40"/>
        <v>Home Depot</v>
      </c>
      <c r="D390" s="10" t="s">
        <v>463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0" t="s">
        <v>464</v>
      </c>
      <c r="B391" s="11">
        <v>19.97</v>
      </c>
      <c r="C391" s="12" t="str">
        <f t="shared" si="40"/>
        <v>Home Depot</v>
      </c>
      <c r="D391" s="10" t="s">
        <v>463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0" t="s">
        <v>465</v>
      </c>
      <c r="B392" s="11" t="s">
        <v>466</v>
      </c>
      <c r="C392" s="12" t="str">
        <f>HYPERLINK("https://brandcycle.shop/9dmst","Ace Hardware")</f>
        <v>Ace Hardware</v>
      </c>
      <c r="D392" s="10" t="s">
        <v>348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0" t="s">
        <v>467</v>
      </c>
      <c r="B393" s="11">
        <v>19.97</v>
      </c>
      <c r="C393" s="12" t="str">
        <f t="shared" ref="C393:C395" si="41">HYPERLINK("https://go.magik.ly/ml/sfil/","Home Depot")</f>
        <v>Home Depot</v>
      </c>
      <c r="D393" s="10" t="s">
        <v>463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0" t="s">
        <v>468</v>
      </c>
      <c r="B394" s="11">
        <v>24.88</v>
      </c>
      <c r="C394" s="12" t="str">
        <f t="shared" si="41"/>
        <v>Home Depot</v>
      </c>
      <c r="D394" s="10" t="s">
        <v>344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0" t="s">
        <v>469</v>
      </c>
      <c r="B395" s="11">
        <v>29.97</v>
      </c>
      <c r="C395" s="12" t="str">
        <f t="shared" si="41"/>
        <v>Home Depot</v>
      </c>
      <c r="D395" s="10" t="s">
        <v>251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0" t="s">
        <v>470</v>
      </c>
      <c r="B396" s="11" t="s">
        <v>376</v>
      </c>
      <c r="C396" s="12" t="str">
        <f t="shared" ref="C396:C397" si="42">HYPERLINK("https://brandcycle.shop/9dmst","Ace Hardware")</f>
        <v>Ace Hardware</v>
      </c>
      <c r="D396" s="10" t="s">
        <v>348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0" t="s">
        <v>471</v>
      </c>
      <c r="B397" s="11" t="s">
        <v>379</v>
      </c>
      <c r="C397" s="12" t="str">
        <f t="shared" si="42"/>
        <v>Ace Hardware</v>
      </c>
      <c r="D397" s="10" t="s">
        <v>472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0" t="s">
        <v>473</v>
      </c>
      <c r="B398" s="11">
        <v>199.0</v>
      </c>
      <c r="C398" s="12" t="str">
        <f>HYPERLINK("https://go.magik.ly/ml/sfil/","Home Depot")</f>
        <v>Home Depot</v>
      </c>
      <c r="D398" s="10" t="s">
        <v>474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0" t="s">
        <v>475</v>
      </c>
      <c r="B399" s="11" t="s">
        <v>376</v>
      </c>
      <c r="C399" s="12" t="str">
        <f>HYPERLINK("https://brandcycle.shop/9dmst","Ace Hardware")</f>
        <v>Ace Hardware</v>
      </c>
      <c r="D399" s="10" t="s">
        <v>348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0" t="s">
        <v>476</v>
      </c>
      <c r="B400" s="11">
        <v>199.0</v>
      </c>
      <c r="C400" s="12" t="str">
        <f>HYPERLINK("https://go.magik.ly/ml/sfil/","Home Depot")</f>
        <v>Home Depot</v>
      </c>
      <c r="D400" s="10" t="s">
        <v>477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0" t="s">
        <v>478</v>
      </c>
      <c r="B401" s="11" t="s">
        <v>466</v>
      </c>
      <c r="C401" s="12" t="str">
        <f>HYPERLINK("https://brandcycle.shop/9dmst","Ace Hardware")</f>
        <v>Ace Hardware</v>
      </c>
      <c r="D401" s="10" t="s">
        <v>348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0" t="s">
        <v>479</v>
      </c>
      <c r="B402" s="11">
        <v>279.0</v>
      </c>
      <c r="C402" s="12" t="str">
        <f t="shared" ref="C402:C403" si="43">HYPERLINK("https://go.magik.ly/ml/sfil/","Home Depot")</f>
        <v>Home Depot</v>
      </c>
      <c r="D402" s="10" t="s">
        <v>480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0" t="s">
        <v>481</v>
      </c>
      <c r="B403" s="11">
        <v>399.0</v>
      </c>
      <c r="C403" s="12" t="str">
        <f t="shared" si="43"/>
        <v>Home Depot</v>
      </c>
      <c r="D403" s="10" t="s">
        <v>482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0" t="s">
        <v>483</v>
      </c>
      <c r="B404" s="11" t="s">
        <v>379</v>
      </c>
      <c r="C404" s="12" t="str">
        <f t="shared" ref="C404:C407" si="44">HYPERLINK("https://brandcycle.shop/9dmst","Ace Hardware")</f>
        <v>Ace Hardware</v>
      </c>
      <c r="D404" s="10" t="s">
        <v>484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0" t="s">
        <v>485</v>
      </c>
      <c r="B405" s="11" t="s">
        <v>376</v>
      </c>
      <c r="C405" s="12" t="str">
        <f t="shared" si="44"/>
        <v>Ace Hardware</v>
      </c>
      <c r="D405" s="15" t="s">
        <v>348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0" t="s">
        <v>486</v>
      </c>
      <c r="B406" s="11" t="s">
        <v>487</v>
      </c>
      <c r="C406" s="12" t="str">
        <f t="shared" si="44"/>
        <v>Ace Hardware</v>
      </c>
      <c r="D406" s="10" t="s">
        <v>488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0" t="s">
        <v>489</v>
      </c>
      <c r="B407" s="11" t="s">
        <v>487</v>
      </c>
      <c r="C407" s="12" t="str">
        <f t="shared" si="44"/>
        <v>Ace Hardware</v>
      </c>
      <c r="D407" s="10" t="s">
        <v>488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0" t="s">
        <v>490</v>
      </c>
      <c r="B408" s="11">
        <v>52.97</v>
      </c>
      <c r="C408" s="12" t="str">
        <f t="shared" ref="C408:C410" si="45">HYPERLINK("https://go.magik.ly/ml/sfil/","Home Depot")</f>
        <v>Home Depot</v>
      </c>
      <c r="D408" s="15" t="s">
        <v>491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0" t="s">
        <v>492</v>
      </c>
      <c r="B409" s="11">
        <v>159.0</v>
      </c>
      <c r="C409" s="12" t="str">
        <f t="shared" si="45"/>
        <v>Home Depot</v>
      </c>
      <c r="D409" s="15" t="s">
        <v>491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0" t="s">
        <v>493</v>
      </c>
      <c r="B410" s="11">
        <v>169.0</v>
      </c>
      <c r="C410" s="12" t="str">
        <f t="shared" si="45"/>
        <v>Home Depot</v>
      </c>
      <c r="D410" s="15" t="s">
        <v>491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0" t="s">
        <v>494</v>
      </c>
      <c r="B411" s="11" t="s">
        <v>413</v>
      </c>
      <c r="C411" s="12" t="str">
        <f>HYPERLINK("https://brandcycle.shop/9dmst","Ace Hardware")</f>
        <v>Ace Hardware</v>
      </c>
      <c r="D411" s="10" t="s">
        <v>495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0" t="s">
        <v>496</v>
      </c>
      <c r="B412" s="11">
        <v>19.97</v>
      </c>
      <c r="C412" s="12" t="str">
        <f>HYPERLINK("https://go.magik.ly/ml/sfil/","Home Depot")</f>
        <v>Home Depot</v>
      </c>
      <c r="D412" s="10" t="s">
        <v>463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0" t="s">
        <v>497</v>
      </c>
      <c r="B413" s="11">
        <v>9.99</v>
      </c>
      <c r="C413" s="12" t="str">
        <f t="shared" ref="C413:C416" si="46">HYPERLINK("https://brandcycle.shop/9dmst","Ace Hardware")</f>
        <v>Ace Hardware</v>
      </c>
      <c r="D413" s="10" t="s">
        <v>266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0" t="s">
        <v>498</v>
      </c>
      <c r="B414" s="11">
        <v>19.99</v>
      </c>
      <c r="C414" s="12" t="str">
        <f t="shared" si="46"/>
        <v>Ace Hardware</v>
      </c>
      <c r="D414" s="10" t="s">
        <v>266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0" t="s">
        <v>499</v>
      </c>
      <c r="B415" s="11">
        <v>9.99</v>
      </c>
      <c r="C415" s="12" t="str">
        <f t="shared" si="46"/>
        <v>Ace Hardware</v>
      </c>
      <c r="D415" s="10" t="s">
        <v>266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0" t="s">
        <v>500</v>
      </c>
      <c r="B416" s="11">
        <v>19.99</v>
      </c>
      <c r="C416" s="12" t="str">
        <f t="shared" si="46"/>
        <v>Ace Hardware</v>
      </c>
      <c r="D416" s="10" t="s">
        <v>266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0" t="s">
        <v>501</v>
      </c>
      <c r="B417" s="11">
        <v>19.88</v>
      </c>
      <c r="C417" s="12" t="str">
        <f t="shared" ref="C417:C418" si="47">HYPERLINK("https://go.magik.ly/ml/sfil/","Home Depot")</f>
        <v>Home Depot</v>
      </c>
      <c r="D417" s="10" t="s">
        <v>344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0" t="s">
        <v>502</v>
      </c>
      <c r="B418" s="11">
        <v>19.97</v>
      </c>
      <c r="C418" s="12" t="str">
        <f t="shared" si="47"/>
        <v>Home Depot</v>
      </c>
      <c r="D418" s="10" t="s">
        <v>503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0" t="s">
        <v>504</v>
      </c>
      <c r="B419" s="11">
        <v>19.99</v>
      </c>
      <c r="C419" s="12" t="str">
        <f t="shared" ref="C419:C420" si="48">HYPERLINK("https://brandcycle.shop/9dmst","Ace Hardware")</f>
        <v>Ace Hardware</v>
      </c>
      <c r="D419" s="10" t="s">
        <v>266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0" t="s">
        <v>505</v>
      </c>
      <c r="B420" s="11">
        <v>19.99</v>
      </c>
      <c r="C420" s="12" t="str">
        <f t="shared" si="48"/>
        <v>Ace Hardware</v>
      </c>
      <c r="D420" s="10" t="s">
        <v>266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0" t="s">
        <v>506</v>
      </c>
      <c r="B421" s="11">
        <v>1799.99</v>
      </c>
      <c r="C421" s="12" t="str">
        <f>HYPERLINK("https://costco.com","Costco")</f>
        <v>Costco</v>
      </c>
      <c r="D421" s="10" t="s">
        <v>256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0" t="s">
        <v>507</v>
      </c>
      <c r="B422" s="11">
        <v>59.88</v>
      </c>
      <c r="C422" s="12" t="str">
        <f t="shared" ref="C422:C436" si="49">HYPERLINK("https://go.magik.ly/ml/sfil/","Home Depot")</f>
        <v>Home Depot</v>
      </c>
      <c r="D422" s="10" t="s">
        <v>248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0" t="s">
        <v>508</v>
      </c>
      <c r="B423" s="11">
        <v>179.0</v>
      </c>
      <c r="C423" s="12" t="str">
        <f t="shared" si="49"/>
        <v>Home Depot</v>
      </c>
      <c r="D423" s="10" t="s">
        <v>509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0" t="s">
        <v>510</v>
      </c>
      <c r="B424" s="11">
        <v>249.0</v>
      </c>
      <c r="C424" s="12" t="str">
        <f t="shared" si="49"/>
        <v>Home Depot</v>
      </c>
      <c r="D424" s="10" t="s">
        <v>511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0" t="s">
        <v>512</v>
      </c>
      <c r="B425" s="11">
        <v>149.0</v>
      </c>
      <c r="C425" s="12" t="str">
        <f t="shared" si="49"/>
        <v>Home Depot</v>
      </c>
      <c r="D425" s="10" t="s">
        <v>248</v>
      </c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0" t="s">
        <v>513</v>
      </c>
      <c r="B426" s="11">
        <v>179.0</v>
      </c>
      <c r="C426" s="12" t="str">
        <f t="shared" si="49"/>
        <v>Home Depot</v>
      </c>
      <c r="D426" s="10" t="s">
        <v>370</v>
      </c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0" t="s">
        <v>514</v>
      </c>
      <c r="B427" s="11">
        <v>99.0</v>
      </c>
      <c r="C427" s="12" t="str">
        <f t="shared" si="49"/>
        <v>Home Depot</v>
      </c>
      <c r="D427" s="10" t="s">
        <v>515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0" t="s">
        <v>516</v>
      </c>
      <c r="B428" s="11">
        <v>49.97</v>
      </c>
      <c r="C428" s="12" t="str">
        <f t="shared" si="49"/>
        <v>Home Depot</v>
      </c>
      <c r="D428" s="10" t="s">
        <v>517</v>
      </c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0" t="s">
        <v>518</v>
      </c>
      <c r="B429" s="11">
        <v>199.0</v>
      </c>
      <c r="C429" s="12" t="str">
        <f t="shared" si="49"/>
        <v>Home Depot</v>
      </c>
      <c r="D429" s="10" t="s">
        <v>519</v>
      </c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0" t="s">
        <v>520</v>
      </c>
      <c r="B430" s="11">
        <v>99.0</v>
      </c>
      <c r="C430" s="12" t="str">
        <f t="shared" si="49"/>
        <v>Home Depot</v>
      </c>
      <c r="D430" s="10" t="s">
        <v>248</v>
      </c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0" t="s">
        <v>521</v>
      </c>
      <c r="B431" s="11">
        <v>99.0</v>
      </c>
      <c r="C431" s="12" t="str">
        <f t="shared" si="49"/>
        <v>Home Depot</v>
      </c>
      <c r="D431" s="10" t="s">
        <v>522</v>
      </c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0" t="s">
        <v>523</v>
      </c>
      <c r="B432" s="11">
        <v>99.0</v>
      </c>
      <c r="C432" s="12" t="str">
        <f t="shared" si="49"/>
        <v>Home Depot</v>
      </c>
      <c r="D432" s="10" t="s">
        <v>524</v>
      </c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0" t="s">
        <v>525</v>
      </c>
      <c r="B433" s="11">
        <v>49.97</v>
      </c>
      <c r="C433" s="12" t="str">
        <f t="shared" si="49"/>
        <v>Home Depot</v>
      </c>
      <c r="D433" s="10" t="s">
        <v>370</v>
      </c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0" t="s">
        <v>526</v>
      </c>
      <c r="B434" s="11">
        <v>149.0</v>
      </c>
      <c r="C434" s="12" t="str">
        <f t="shared" si="49"/>
        <v>Home Depot</v>
      </c>
      <c r="D434" s="10" t="s">
        <v>527</v>
      </c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0" t="s">
        <v>528</v>
      </c>
      <c r="B435" s="11">
        <v>19.97</v>
      </c>
      <c r="C435" s="12" t="str">
        <f t="shared" si="49"/>
        <v>Home Depot</v>
      </c>
      <c r="D435" s="10" t="s">
        <v>370</v>
      </c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0" t="s">
        <v>529</v>
      </c>
      <c r="B436" s="11">
        <v>14.97</v>
      </c>
      <c r="C436" s="12" t="str">
        <f t="shared" si="49"/>
        <v>Home Depot</v>
      </c>
      <c r="D436" s="10" t="s">
        <v>370</v>
      </c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0" t="s">
        <v>530</v>
      </c>
      <c r="B437" s="11">
        <v>149.99</v>
      </c>
      <c r="C437" s="12" t="str">
        <f t="shared" ref="C437:C438" si="50">HYPERLINK("https://costco.com","Costco")</f>
        <v>Costco</v>
      </c>
      <c r="D437" s="10" t="s">
        <v>61</v>
      </c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0" t="s">
        <v>531</v>
      </c>
      <c r="B438" s="11">
        <v>59.99</v>
      </c>
      <c r="C438" s="12" t="str">
        <f t="shared" si="50"/>
        <v>Costco</v>
      </c>
      <c r="D438" s="10" t="s">
        <v>61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0" t="s">
        <v>532</v>
      </c>
      <c r="B439" s="11">
        <v>10.98</v>
      </c>
      <c r="C439" s="12" t="str">
        <f t="shared" ref="C439:C440" si="51">HYPERLINK("https://go.magik.ly/ml/sfil/","Home Depot")</f>
        <v>Home Depot</v>
      </c>
      <c r="D439" s="10" t="s">
        <v>370</v>
      </c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0" t="s">
        <v>533</v>
      </c>
      <c r="B440" s="11">
        <v>9.97</v>
      </c>
      <c r="C440" s="12" t="str">
        <f t="shared" si="51"/>
        <v>Home Depot</v>
      </c>
      <c r="D440" s="10" t="s">
        <v>248</v>
      </c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0" t="s">
        <v>534</v>
      </c>
      <c r="B441" s="11" t="s">
        <v>379</v>
      </c>
      <c r="C441" s="12" t="str">
        <f t="shared" ref="C441:C442" si="52">HYPERLINK("https://brandcycle.shop/9dmst","Ace Hardware")</f>
        <v>Ace Hardware</v>
      </c>
      <c r="D441" s="10" t="s">
        <v>535</v>
      </c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0" t="s">
        <v>536</v>
      </c>
      <c r="B442" s="11" t="s">
        <v>379</v>
      </c>
      <c r="C442" s="12" t="str">
        <f t="shared" si="52"/>
        <v>Ace Hardware</v>
      </c>
      <c r="D442" s="10" t="s">
        <v>535</v>
      </c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0" t="s">
        <v>537</v>
      </c>
      <c r="B443" s="11">
        <v>29.88</v>
      </c>
      <c r="C443" s="12" t="str">
        <f>HYPERLINK("https://go.magik.ly/ml/sfil/","Home Depot")</f>
        <v>Home Depot</v>
      </c>
      <c r="D443" s="10" t="s">
        <v>248</v>
      </c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0" t="s">
        <v>538</v>
      </c>
      <c r="B444" s="11">
        <v>729.0</v>
      </c>
      <c r="C444" s="12" t="str">
        <f>HYPERLINK("https://brandcycle.shop/9dmst","Ace Hardware")</f>
        <v>Ace Hardware</v>
      </c>
      <c r="D444" s="10" t="s">
        <v>266</v>
      </c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0" t="s">
        <v>539</v>
      </c>
      <c r="B445" s="11">
        <v>59.88</v>
      </c>
      <c r="C445" s="12" t="str">
        <f t="shared" ref="C445:C446" si="53">HYPERLINK("https://go.magik.ly/ml/sfil/","Home Depot")</f>
        <v>Home Depot</v>
      </c>
      <c r="D445" s="10" t="s">
        <v>248</v>
      </c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0" t="s">
        <v>540</v>
      </c>
      <c r="B446" s="11">
        <v>79.88</v>
      </c>
      <c r="C446" s="12" t="str">
        <f t="shared" si="53"/>
        <v>Home Depot</v>
      </c>
      <c r="D446" s="10" t="s">
        <v>248</v>
      </c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0" t="s">
        <v>541</v>
      </c>
      <c r="B447" s="11">
        <v>219.99</v>
      </c>
      <c r="C447" s="12" t="str">
        <f t="shared" ref="C447:C449" si="54">HYPERLINK("https://brandcycle.shop/9dmst","Ace Hardware")</f>
        <v>Ace Hardware</v>
      </c>
      <c r="D447" s="10" t="s">
        <v>266</v>
      </c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0" t="s">
        <v>542</v>
      </c>
      <c r="B448" s="11">
        <v>159.99</v>
      </c>
      <c r="C448" s="12" t="str">
        <f t="shared" si="54"/>
        <v>Ace Hardware</v>
      </c>
      <c r="D448" s="10" t="s">
        <v>266</v>
      </c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0" t="s">
        <v>543</v>
      </c>
      <c r="B449" s="11">
        <v>199.99</v>
      </c>
      <c r="C449" s="12" t="str">
        <f t="shared" si="54"/>
        <v>Ace Hardware</v>
      </c>
      <c r="D449" s="10" t="s">
        <v>266</v>
      </c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0" t="s">
        <v>544</v>
      </c>
      <c r="B450" s="11">
        <v>10.98</v>
      </c>
      <c r="C450" s="12" t="str">
        <f>HYPERLINK("https://go.magik.ly/ml/sfil/","Home Depot")</f>
        <v>Home Depot</v>
      </c>
      <c r="D450" s="10" t="s">
        <v>370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0"/>
      <c r="B451" s="7"/>
      <c r="C451" s="10"/>
      <c r="D451" s="10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8" t="s">
        <v>545</v>
      </c>
      <c r="B452" s="7"/>
      <c r="C452" s="10"/>
      <c r="D452" s="10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9" t="s">
        <v>546</v>
      </c>
      <c r="B453" s="7"/>
      <c r="C453" s="10"/>
      <c r="D453" s="10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0" t="s">
        <v>547</v>
      </c>
      <c r="B454" s="11">
        <v>549.99</v>
      </c>
      <c r="C454" s="12" t="str">
        <f>HYPERLINK("https://costco.com","Costco")</f>
        <v>Costco</v>
      </c>
      <c r="D454" s="10" t="s">
        <v>70</v>
      </c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0" t="s">
        <v>548</v>
      </c>
      <c r="B455" s="11">
        <v>59.99</v>
      </c>
      <c r="C455" s="12" t="str">
        <f t="shared" ref="C455:C459" si="55">HYPERLINK("https://shopstyle.it/l/ch41b","Target")</f>
        <v>Target</v>
      </c>
      <c r="D455" s="10" t="s">
        <v>9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0" t="s">
        <v>549</v>
      </c>
      <c r="B456" s="11">
        <v>349.99</v>
      </c>
      <c r="C456" s="12" t="str">
        <f t="shared" si="55"/>
        <v>Target</v>
      </c>
      <c r="D456" s="10" t="s">
        <v>9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0" t="s">
        <v>550</v>
      </c>
      <c r="B457" s="11">
        <v>49.99</v>
      </c>
      <c r="C457" s="12" t="str">
        <f t="shared" si="55"/>
        <v>Target</v>
      </c>
      <c r="D457" s="10" t="s">
        <v>9</v>
      </c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0" t="s">
        <v>551</v>
      </c>
      <c r="B458" s="11">
        <v>69.99</v>
      </c>
      <c r="C458" s="12" t="str">
        <f t="shared" si="55"/>
        <v>Target</v>
      </c>
      <c r="D458" s="10" t="s">
        <v>9</v>
      </c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0" t="s">
        <v>552</v>
      </c>
      <c r="B459" s="11">
        <v>49.99</v>
      </c>
      <c r="C459" s="12" t="str">
        <f t="shared" si="55"/>
        <v>Target</v>
      </c>
      <c r="D459" s="10" t="s">
        <v>9</v>
      </c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0" t="s">
        <v>553</v>
      </c>
      <c r="B460" s="11">
        <v>44.97</v>
      </c>
      <c r="C460" s="12" t="str">
        <f>HYPERLINK("https://go.magik.ly/ml/rtk9/","Walmart")</f>
        <v>Walmart</v>
      </c>
      <c r="D460" s="10" t="s">
        <v>200</v>
      </c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0" t="s">
        <v>554</v>
      </c>
      <c r="B461" s="11">
        <v>84.99</v>
      </c>
      <c r="C461" s="12" t="str">
        <f t="shared" ref="C461:C462" si="56">HYPERLINK("https://shopstyle.it/l/ch41Y","Kohl's")</f>
        <v>Kohl's</v>
      </c>
      <c r="D461" s="14" t="s">
        <v>555</v>
      </c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0" t="s">
        <v>556</v>
      </c>
      <c r="B462" s="11">
        <v>84.99</v>
      </c>
      <c r="C462" s="12" t="str">
        <f t="shared" si="56"/>
        <v>Kohl's</v>
      </c>
      <c r="D462" s="14" t="s">
        <v>555</v>
      </c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0" t="s">
        <v>557</v>
      </c>
      <c r="B463" s="11">
        <v>69.99</v>
      </c>
      <c r="C463" s="12" t="str">
        <f>HYPERLINK("https://shopstyle.it/l/ch41b","Target")</f>
        <v>Target</v>
      </c>
      <c r="D463" s="10" t="s">
        <v>9</v>
      </c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0" t="s">
        <v>558</v>
      </c>
      <c r="B464" s="11" t="s">
        <v>559</v>
      </c>
      <c r="C464" s="12" t="str">
        <f t="shared" ref="C464:C467" si="57">HYPERLINK("https://shopstyle.it/l/ch41Y","Kohl's")</f>
        <v>Kohl's</v>
      </c>
      <c r="D464" s="14" t="s">
        <v>560</v>
      </c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0" t="s">
        <v>558</v>
      </c>
      <c r="B465" s="11">
        <v>19.99</v>
      </c>
      <c r="C465" s="12" t="str">
        <f t="shared" si="57"/>
        <v>Kohl's</v>
      </c>
      <c r="D465" s="14" t="s">
        <v>560</v>
      </c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0" t="s">
        <v>558</v>
      </c>
      <c r="B466" s="11" t="s">
        <v>561</v>
      </c>
      <c r="C466" s="12" t="str">
        <f t="shared" si="57"/>
        <v>Kohl's</v>
      </c>
      <c r="D466" s="14" t="s">
        <v>560</v>
      </c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0" t="s">
        <v>562</v>
      </c>
      <c r="B467" s="11">
        <v>349.99</v>
      </c>
      <c r="C467" s="12" t="str">
        <f t="shared" si="57"/>
        <v>Kohl's</v>
      </c>
      <c r="D467" s="14" t="s">
        <v>55</v>
      </c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0" t="s">
        <v>563</v>
      </c>
      <c r="B468" s="11">
        <v>149.99</v>
      </c>
      <c r="C468" s="12" t="str">
        <f>HYPERLINK("https://shopstyle.it/l/ch41b","Target")</f>
        <v>Target</v>
      </c>
      <c r="D468" s="10" t="s">
        <v>9</v>
      </c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0" t="s">
        <v>564</v>
      </c>
      <c r="B469" s="11">
        <v>149.0</v>
      </c>
      <c r="C469" s="12" t="str">
        <f t="shared" ref="C469:C470" si="58">HYPERLINK("https://go.magik.ly/ml/sfil/","Home Depot")</f>
        <v>Home Depot</v>
      </c>
      <c r="D469" s="10" t="s">
        <v>248</v>
      </c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0" t="s">
        <v>565</v>
      </c>
      <c r="B470" s="11">
        <v>59.0</v>
      </c>
      <c r="C470" s="12" t="str">
        <f t="shared" si="58"/>
        <v>Home Depot</v>
      </c>
      <c r="D470" s="10" t="s">
        <v>248</v>
      </c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0" t="s">
        <v>566</v>
      </c>
      <c r="B471" s="11">
        <v>124.99</v>
      </c>
      <c r="C471" s="12" t="str">
        <f>HYPERLINK("https://costco.com","Costco")</f>
        <v>Costco</v>
      </c>
      <c r="D471" s="10" t="s">
        <v>61</v>
      </c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0" t="s">
        <v>567</v>
      </c>
      <c r="B472" s="11">
        <v>179.99</v>
      </c>
      <c r="C472" s="12" t="str">
        <f t="shared" ref="C472:C473" si="59">HYPERLINK("https://shopstyle.it/l/ch41b","Target")</f>
        <v>Target</v>
      </c>
      <c r="D472" s="10" t="s">
        <v>9</v>
      </c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0" t="s">
        <v>568</v>
      </c>
      <c r="B473" s="11">
        <v>109.99</v>
      </c>
      <c r="C473" s="12" t="str">
        <f t="shared" si="59"/>
        <v>Target</v>
      </c>
      <c r="D473" s="10" t="s">
        <v>9</v>
      </c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0" t="s">
        <v>569</v>
      </c>
      <c r="B474" s="11">
        <v>59.99</v>
      </c>
      <c r="C474" s="12" t="str">
        <f>HYPERLINK("https://costco.com","Costco")</f>
        <v>Costco</v>
      </c>
      <c r="D474" s="10" t="s">
        <v>129</v>
      </c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0" t="s">
        <v>570</v>
      </c>
      <c r="B475" s="11">
        <v>134.99</v>
      </c>
      <c r="C475" s="12" t="str">
        <f>HYPERLINK("https://shopstyle.it/l/ch41b","Target")</f>
        <v>Target</v>
      </c>
      <c r="D475" s="10" t="s">
        <v>9</v>
      </c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0" t="s">
        <v>571</v>
      </c>
      <c r="B476" s="11">
        <v>269.99</v>
      </c>
      <c r="C476" s="12" t="str">
        <f>HYPERLINK("https://shopstyle.it/l/ch41Y","Kohl's")</f>
        <v>Kohl's</v>
      </c>
      <c r="D476" s="14" t="s">
        <v>55</v>
      </c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0" t="s">
        <v>572</v>
      </c>
      <c r="B477" s="11">
        <v>69.99</v>
      </c>
      <c r="C477" s="12" t="str">
        <f t="shared" ref="C477:C478" si="60">HYPERLINK("https://costco.com","Costco")</f>
        <v>Costco</v>
      </c>
      <c r="D477" s="10" t="s">
        <v>268</v>
      </c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0" t="s">
        <v>573</v>
      </c>
      <c r="B478" s="11">
        <v>119.99</v>
      </c>
      <c r="C478" s="12" t="str">
        <f t="shared" si="60"/>
        <v>Costco</v>
      </c>
      <c r="D478" s="10" t="s">
        <v>61</v>
      </c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0" t="s">
        <v>574</v>
      </c>
      <c r="B479" s="11">
        <v>9.99</v>
      </c>
      <c r="C479" s="12" t="str">
        <f>HYPERLINK("https://shopstyle.it/l/ch41Y","Kohl's")</f>
        <v>Kohl's</v>
      </c>
      <c r="D479" s="10" t="s">
        <v>575</v>
      </c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0" t="s">
        <v>576</v>
      </c>
      <c r="B480" s="11">
        <v>299.99</v>
      </c>
      <c r="C480" s="12" t="str">
        <f>HYPERLINK("https://costco.com","Costco")</f>
        <v>Costco</v>
      </c>
      <c r="D480" s="10" t="s">
        <v>61</v>
      </c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0"/>
      <c r="B481" s="7"/>
      <c r="C481" s="10"/>
      <c r="D481" s="10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9" t="s">
        <v>577</v>
      </c>
      <c r="B482" s="7"/>
      <c r="C482" s="10"/>
      <c r="D482" s="10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0" t="s">
        <v>578</v>
      </c>
      <c r="B483" s="11" t="s">
        <v>579</v>
      </c>
      <c r="C483" s="12" t="str">
        <f>HYPERLINK("https://costco.com","Costco")</f>
        <v>Costco</v>
      </c>
      <c r="D483" s="10" t="s">
        <v>70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0" t="s">
        <v>580</v>
      </c>
      <c r="B484" s="11">
        <v>1398.0</v>
      </c>
      <c r="C484" s="12" t="str">
        <f t="shared" ref="C484:C491" si="61">HYPERLINK("https://go.magik.ly/ml/sfil/","Home Depot")</f>
        <v>Home Depot</v>
      </c>
      <c r="D484" s="10" t="s">
        <v>581</v>
      </c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0" t="s">
        <v>582</v>
      </c>
      <c r="B485" s="11">
        <v>1398.0</v>
      </c>
      <c r="C485" s="12" t="str">
        <f t="shared" si="61"/>
        <v>Home Depot</v>
      </c>
      <c r="D485" s="10" t="s">
        <v>581</v>
      </c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0" t="s">
        <v>583</v>
      </c>
      <c r="B486" s="11">
        <v>1598.0</v>
      </c>
      <c r="C486" s="12" t="str">
        <f t="shared" si="61"/>
        <v>Home Depot</v>
      </c>
      <c r="D486" s="10" t="s">
        <v>581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0" t="s">
        <v>584</v>
      </c>
      <c r="B487" s="11">
        <v>1298.0</v>
      </c>
      <c r="C487" s="12" t="str">
        <f t="shared" si="61"/>
        <v>Home Depot</v>
      </c>
      <c r="D487" s="10" t="s">
        <v>581</v>
      </c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0" t="s">
        <v>585</v>
      </c>
      <c r="B488" s="11">
        <v>1196.0</v>
      </c>
      <c r="C488" s="12" t="str">
        <f t="shared" si="61"/>
        <v>Home Depot</v>
      </c>
      <c r="D488" s="10" t="s">
        <v>581</v>
      </c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0" t="s">
        <v>586</v>
      </c>
      <c r="B489" s="11">
        <v>1396.0</v>
      </c>
      <c r="C489" s="12" t="str">
        <f t="shared" si="61"/>
        <v>Home Depot</v>
      </c>
      <c r="D489" s="10" t="s">
        <v>581</v>
      </c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0" t="s">
        <v>587</v>
      </c>
      <c r="B490" s="11">
        <v>568.0</v>
      </c>
      <c r="C490" s="12" t="str">
        <f t="shared" si="61"/>
        <v>Home Depot</v>
      </c>
      <c r="D490" s="10" t="s">
        <v>588</v>
      </c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0" t="s">
        <v>589</v>
      </c>
      <c r="B491" s="11">
        <v>728.0</v>
      </c>
      <c r="C491" s="12" t="str">
        <f t="shared" si="61"/>
        <v>Home Depot</v>
      </c>
      <c r="D491" s="10" t="s">
        <v>581</v>
      </c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0" t="s">
        <v>590</v>
      </c>
      <c r="B492" s="11" t="s">
        <v>591</v>
      </c>
      <c r="C492" s="12" t="str">
        <f>HYPERLINK("https://costco.com","Costco")</f>
        <v>Costco</v>
      </c>
      <c r="D492" s="10" t="s">
        <v>592</v>
      </c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0" t="s">
        <v>593</v>
      </c>
      <c r="B493" s="11">
        <v>2698.0</v>
      </c>
      <c r="C493" s="12" t="str">
        <f>HYPERLINK("https://go.magik.ly/ml/sfil/","Home Depot")</f>
        <v>Home Depot</v>
      </c>
      <c r="D493" s="10" t="s">
        <v>581</v>
      </c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0" t="s">
        <v>594</v>
      </c>
      <c r="B494" s="11" t="s">
        <v>595</v>
      </c>
      <c r="C494" s="12" t="str">
        <f t="shared" ref="C494:C497" si="62">HYPERLINK("https://costco.com","Costco")</f>
        <v>Costco</v>
      </c>
      <c r="D494" s="10" t="s">
        <v>592</v>
      </c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0" t="s">
        <v>596</v>
      </c>
      <c r="B495" s="11" t="s">
        <v>597</v>
      </c>
      <c r="C495" s="12" t="str">
        <f t="shared" si="62"/>
        <v>Costco</v>
      </c>
      <c r="D495" s="10" t="s">
        <v>592</v>
      </c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0" t="s">
        <v>598</v>
      </c>
      <c r="B496" s="11" t="s">
        <v>599</v>
      </c>
      <c r="C496" s="12" t="str">
        <f t="shared" si="62"/>
        <v>Costco</v>
      </c>
      <c r="D496" s="10" t="s">
        <v>592</v>
      </c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0" t="s">
        <v>600</v>
      </c>
      <c r="B497" s="11" t="s">
        <v>599</v>
      </c>
      <c r="C497" s="12" t="str">
        <f t="shared" si="62"/>
        <v>Costco</v>
      </c>
      <c r="D497" s="10" t="s">
        <v>592</v>
      </c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0" t="s">
        <v>601</v>
      </c>
      <c r="B498" s="11">
        <v>1798.0</v>
      </c>
      <c r="C498" s="12" t="str">
        <f t="shared" ref="C498:C500" si="63">HYPERLINK("https://go.magik.ly/ml/sfil/","Home Depot")</f>
        <v>Home Depot</v>
      </c>
      <c r="D498" s="10" t="s">
        <v>588</v>
      </c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0" t="s">
        <v>602</v>
      </c>
      <c r="B499" s="11">
        <v>3032.0</v>
      </c>
      <c r="C499" s="12" t="str">
        <f t="shared" si="63"/>
        <v>Home Depot</v>
      </c>
      <c r="D499" s="10" t="s">
        <v>603</v>
      </c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0" t="s">
        <v>604</v>
      </c>
      <c r="B500" s="11">
        <v>598.0</v>
      </c>
      <c r="C500" s="12" t="str">
        <f t="shared" si="63"/>
        <v>Home Depot</v>
      </c>
      <c r="D500" s="10" t="s">
        <v>588</v>
      </c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0" t="s">
        <v>605</v>
      </c>
      <c r="B501" s="11">
        <v>349.99</v>
      </c>
      <c r="C501" s="12" t="str">
        <f t="shared" ref="C501:C502" si="64">HYPERLINK("https://costco.com","Costco")</f>
        <v>Costco</v>
      </c>
      <c r="D501" s="10" t="s">
        <v>61</v>
      </c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0" t="s">
        <v>606</v>
      </c>
      <c r="B502" s="11" t="s">
        <v>599</v>
      </c>
      <c r="C502" s="12" t="str">
        <f t="shared" si="64"/>
        <v>Costco</v>
      </c>
      <c r="D502" s="10" t="s">
        <v>70</v>
      </c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0" t="s">
        <v>607</v>
      </c>
      <c r="B503" s="11">
        <v>1098.0</v>
      </c>
      <c r="C503" s="12" t="str">
        <f t="shared" ref="C503:C508" si="65">HYPERLINK("https://go.magik.ly/ml/sfil/","Home Depot")</f>
        <v>Home Depot</v>
      </c>
      <c r="D503" s="10" t="s">
        <v>581</v>
      </c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0" t="s">
        <v>608</v>
      </c>
      <c r="B504" s="11">
        <v>3098.0</v>
      </c>
      <c r="C504" s="12" t="str">
        <f t="shared" si="65"/>
        <v>Home Depot</v>
      </c>
      <c r="D504" s="10" t="s">
        <v>581</v>
      </c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0" t="s">
        <v>609</v>
      </c>
      <c r="B505" s="11">
        <v>1698.0</v>
      </c>
      <c r="C505" s="12" t="str">
        <f t="shared" si="65"/>
        <v>Home Depot</v>
      </c>
      <c r="D505" s="10" t="s">
        <v>588</v>
      </c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0" t="s">
        <v>610</v>
      </c>
      <c r="B506" s="11">
        <v>1596.0</v>
      </c>
      <c r="C506" s="12" t="str">
        <f t="shared" si="65"/>
        <v>Home Depot</v>
      </c>
      <c r="D506" s="10" t="s">
        <v>581</v>
      </c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0" t="s">
        <v>611</v>
      </c>
      <c r="B507" s="11">
        <v>1396.0</v>
      </c>
      <c r="C507" s="12" t="str">
        <f t="shared" si="65"/>
        <v>Home Depot</v>
      </c>
      <c r="D507" s="10" t="s">
        <v>581</v>
      </c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0" t="s">
        <v>612</v>
      </c>
      <c r="B508" s="11">
        <v>948.0</v>
      </c>
      <c r="C508" s="12" t="str">
        <f t="shared" si="65"/>
        <v>Home Depot</v>
      </c>
      <c r="D508" s="10" t="s">
        <v>581</v>
      </c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0" t="s">
        <v>613</v>
      </c>
      <c r="B509" s="11" t="s">
        <v>614</v>
      </c>
      <c r="C509" s="12" t="str">
        <f t="shared" ref="C509:C510" si="66">HYPERLINK("https://costco.com","Costco")</f>
        <v>Costco</v>
      </c>
      <c r="D509" s="10" t="s">
        <v>592</v>
      </c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0" t="s">
        <v>615</v>
      </c>
      <c r="B510" s="11" t="s">
        <v>616</v>
      </c>
      <c r="C510" s="12" t="str">
        <f t="shared" si="66"/>
        <v>Costco</v>
      </c>
      <c r="D510" s="10" t="s">
        <v>592</v>
      </c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0" t="s">
        <v>617</v>
      </c>
      <c r="B511" s="11">
        <v>3492.0</v>
      </c>
      <c r="C511" s="12" t="str">
        <f t="shared" ref="C511:C512" si="67">HYPERLINK("https://go.magik.ly/ml/sfil/","Home Depot")</f>
        <v>Home Depot</v>
      </c>
      <c r="D511" s="10" t="s">
        <v>618</v>
      </c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0" t="s">
        <v>619</v>
      </c>
      <c r="B512" s="11">
        <v>798.0</v>
      </c>
      <c r="C512" s="12" t="str">
        <f t="shared" si="67"/>
        <v>Home Depot</v>
      </c>
      <c r="D512" s="10" t="s">
        <v>581</v>
      </c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0" t="s">
        <v>620</v>
      </c>
      <c r="B513" s="11" t="s">
        <v>621</v>
      </c>
      <c r="C513" s="12" t="str">
        <f t="shared" ref="C513:C515" si="68">HYPERLINK("https://costco.com","Costco")</f>
        <v>Costco</v>
      </c>
      <c r="D513" s="10" t="s">
        <v>592</v>
      </c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0" t="s">
        <v>622</v>
      </c>
      <c r="B514" s="11" t="s">
        <v>623</v>
      </c>
      <c r="C514" s="12" t="str">
        <f t="shared" si="68"/>
        <v>Costco</v>
      </c>
      <c r="D514" s="10" t="s">
        <v>592</v>
      </c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0" t="s">
        <v>624</v>
      </c>
      <c r="B515" s="11" t="s">
        <v>625</v>
      </c>
      <c r="C515" s="12" t="str">
        <f t="shared" si="68"/>
        <v>Costco</v>
      </c>
      <c r="D515" s="10" t="s">
        <v>70</v>
      </c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0" t="s">
        <v>626</v>
      </c>
      <c r="B516" s="11">
        <v>1998.0</v>
      </c>
      <c r="C516" s="12" t="str">
        <f t="shared" ref="C516:C518" si="69">HYPERLINK("https://go.magik.ly/ml/sfil/","Home Depot")</f>
        <v>Home Depot</v>
      </c>
      <c r="D516" s="10" t="s">
        <v>581</v>
      </c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0" t="s">
        <v>627</v>
      </c>
      <c r="B517" s="11">
        <v>1998.0</v>
      </c>
      <c r="C517" s="12" t="str">
        <f t="shared" si="69"/>
        <v>Home Depot</v>
      </c>
      <c r="D517" s="10" t="s">
        <v>581</v>
      </c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0" t="s">
        <v>628</v>
      </c>
      <c r="B518" s="11">
        <v>1998.0</v>
      </c>
      <c r="C518" s="12" t="str">
        <f t="shared" si="69"/>
        <v>Home Depot</v>
      </c>
      <c r="D518" s="10" t="s">
        <v>581</v>
      </c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0" t="s">
        <v>629</v>
      </c>
      <c r="B519" s="11" t="s">
        <v>630</v>
      </c>
      <c r="C519" s="12" t="str">
        <f t="shared" ref="C519:C523" si="70">HYPERLINK("https://costco.com","Costco")</f>
        <v>Costco</v>
      </c>
      <c r="D519" s="10" t="s">
        <v>592</v>
      </c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0" t="s">
        <v>631</v>
      </c>
      <c r="B520" s="11" t="s">
        <v>632</v>
      </c>
      <c r="C520" s="12" t="str">
        <f t="shared" si="70"/>
        <v>Costco</v>
      </c>
      <c r="D520" s="10" t="s">
        <v>592</v>
      </c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0" t="s">
        <v>633</v>
      </c>
      <c r="B521" s="11" t="s">
        <v>634</v>
      </c>
      <c r="C521" s="12" t="str">
        <f t="shared" si="70"/>
        <v>Costco</v>
      </c>
      <c r="D521" s="10" t="s">
        <v>592</v>
      </c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0" t="s">
        <v>635</v>
      </c>
      <c r="B522" s="11" t="s">
        <v>636</v>
      </c>
      <c r="C522" s="12" t="str">
        <f t="shared" si="70"/>
        <v>Costco</v>
      </c>
      <c r="D522" s="10" t="s">
        <v>592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0" t="s">
        <v>637</v>
      </c>
      <c r="B523" s="11" t="s">
        <v>638</v>
      </c>
      <c r="C523" s="12" t="str">
        <f t="shared" si="70"/>
        <v>Costco</v>
      </c>
      <c r="D523" s="10" t="s">
        <v>592</v>
      </c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0" t="s">
        <v>639</v>
      </c>
      <c r="B524" s="11">
        <v>598.0</v>
      </c>
      <c r="C524" s="12" t="str">
        <f t="shared" ref="C524:C529" si="71">HYPERLINK("https://go.magik.ly/ml/sfil/","Home Depot")</f>
        <v>Home Depot</v>
      </c>
      <c r="D524" s="10" t="s">
        <v>581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0" t="s">
        <v>640</v>
      </c>
      <c r="B525" s="11">
        <v>649.0</v>
      </c>
      <c r="C525" s="12" t="str">
        <f t="shared" si="71"/>
        <v>Home Depot</v>
      </c>
      <c r="D525" s="10" t="s">
        <v>248</v>
      </c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0" t="s">
        <v>641</v>
      </c>
      <c r="B526" s="11">
        <v>529.0</v>
      </c>
      <c r="C526" s="12" t="str">
        <f t="shared" si="71"/>
        <v>Home Depot</v>
      </c>
      <c r="D526" s="10" t="s">
        <v>248</v>
      </c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0" t="s">
        <v>642</v>
      </c>
      <c r="B527" s="11">
        <v>199.0</v>
      </c>
      <c r="C527" s="12" t="str">
        <f t="shared" si="71"/>
        <v>Home Depot</v>
      </c>
      <c r="D527" s="10" t="s">
        <v>248</v>
      </c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0" t="s">
        <v>643</v>
      </c>
      <c r="B528" s="11">
        <v>548.0</v>
      </c>
      <c r="C528" s="12" t="str">
        <f t="shared" si="71"/>
        <v>Home Depot</v>
      </c>
      <c r="D528" s="10" t="s">
        <v>581</v>
      </c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0" t="s">
        <v>644</v>
      </c>
      <c r="B529" s="11">
        <v>678.0</v>
      </c>
      <c r="C529" s="12" t="str">
        <f t="shared" si="71"/>
        <v>Home Depot</v>
      </c>
      <c r="D529" s="10" t="s">
        <v>581</v>
      </c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0"/>
      <c r="B530" s="7"/>
      <c r="C530" s="10"/>
      <c r="D530" s="10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9" t="s">
        <v>645</v>
      </c>
      <c r="B531" s="7"/>
      <c r="C531" s="10"/>
      <c r="D531" s="10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0" t="s">
        <v>646</v>
      </c>
      <c r="B532" s="11" t="s">
        <v>647</v>
      </c>
      <c r="C532" s="12" t="str">
        <f>HYPERLINK("https://costco.com","Costco")</f>
        <v>Costco</v>
      </c>
      <c r="D532" s="10" t="s">
        <v>268</v>
      </c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0" t="s">
        <v>648</v>
      </c>
      <c r="B533" s="11" t="s">
        <v>649</v>
      </c>
      <c r="C533" s="12" t="str">
        <f>HYPERLINK("https://shopstyle.it/l/ch41b","Target")</f>
        <v>Target</v>
      </c>
      <c r="D533" s="10" t="s">
        <v>650</v>
      </c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0" t="s">
        <v>651</v>
      </c>
      <c r="B534" s="11" t="s">
        <v>559</v>
      </c>
      <c r="C534" s="12" t="str">
        <f t="shared" ref="C534:C537" si="72">HYPERLINK("https://shopstyle.it/l/ch41Y","Kohl's")</f>
        <v>Kohl's</v>
      </c>
      <c r="D534" s="14" t="s">
        <v>560</v>
      </c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0" t="s">
        <v>652</v>
      </c>
      <c r="B535" s="11" t="s">
        <v>653</v>
      </c>
      <c r="C535" s="12" t="str">
        <f t="shared" si="72"/>
        <v>Kohl's</v>
      </c>
      <c r="D535" s="14" t="s">
        <v>560</v>
      </c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0" t="s">
        <v>654</v>
      </c>
      <c r="B536" s="11" t="s">
        <v>653</v>
      </c>
      <c r="C536" s="12" t="str">
        <f t="shared" si="72"/>
        <v>Kohl's</v>
      </c>
      <c r="D536" s="14" t="s">
        <v>560</v>
      </c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0" t="s">
        <v>655</v>
      </c>
      <c r="B537" s="11" t="s">
        <v>214</v>
      </c>
      <c r="C537" s="12" t="str">
        <f t="shared" si="72"/>
        <v>Kohl's</v>
      </c>
      <c r="D537" s="14" t="s">
        <v>560</v>
      </c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0" t="s">
        <v>656</v>
      </c>
      <c r="B538" s="11" t="s">
        <v>647</v>
      </c>
      <c r="C538" s="12" t="str">
        <f t="shared" ref="C538:C539" si="73">HYPERLINK("https://costco.com","Costco")</f>
        <v>Costco</v>
      </c>
      <c r="D538" s="10" t="s">
        <v>268</v>
      </c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0" t="s">
        <v>657</v>
      </c>
      <c r="B539" s="11" t="s">
        <v>658</v>
      </c>
      <c r="C539" s="12" t="str">
        <f t="shared" si="73"/>
        <v>Costco</v>
      </c>
      <c r="D539" s="10" t="s">
        <v>11</v>
      </c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0" t="s">
        <v>659</v>
      </c>
      <c r="B540" s="11" t="s">
        <v>214</v>
      </c>
      <c r="C540" s="12" t="str">
        <f>HYPERLINK("https://shopstyle.it/l/ch41Y","Kohl's")</f>
        <v>Kohl's</v>
      </c>
      <c r="D540" s="14" t="s">
        <v>560</v>
      </c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0" t="s">
        <v>660</v>
      </c>
      <c r="B541" s="11" t="s">
        <v>58</v>
      </c>
      <c r="C541" s="12" t="str">
        <f>HYPERLINK("https://shopstyle.it/l/ch41b","Target")</f>
        <v>Target</v>
      </c>
      <c r="D541" s="10" t="s">
        <v>9</v>
      </c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0"/>
      <c r="B542" s="7"/>
      <c r="C542" s="10"/>
      <c r="D542" s="10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9" t="s">
        <v>661</v>
      </c>
      <c r="B543" s="7"/>
      <c r="C543" s="10"/>
      <c r="D543" s="10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0" t="s">
        <v>662</v>
      </c>
      <c r="B544" s="11" t="s">
        <v>54</v>
      </c>
      <c r="C544" s="12" t="str">
        <f>HYPERLINK("https://shopstyle.it/l/ch41Y","Kohl's")</f>
        <v>Kohl's</v>
      </c>
      <c r="D544" s="14" t="s">
        <v>560</v>
      </c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0" t="s">
        <v>663</v>
      </c>
      <c r="B545" s="11">
        <v>299.99</v>
      </c>
      <c r="C545" s="12" t="str">
        <f t="shared" ref="C545:C546" si="74">HYPERLINK("https://costco.com","Costco")</f>
        <v>Costco</v>
      </c>
      <c r="D545" s="10" t="s">
        <v>70</v>
      </c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0" t="s">
        <v>664</v>
      </c>
      <c r="B546" s="11" t="s">
        <v>665</v>
      </c>
      <c r="C546" s="12" t="str">
        <f t="shared" si="74"/>
        <v>Costco</v>
      </c>
      <c r="D546" s="10" t="s">
        <v>666</v>
      </c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0" t="s">
        <v>667</v>
      </c>
      <c r="B547" s="11" t="s">
        <v>54</v>
      </c>
      <c r="C547" s="12" t="str">
        <f t="shared" ref="C547:C548" si="75">HYPERLINK("https://shopstyle.it/l/ch41Y","Kohl's")</f>
        <v>Kohl's</v>
      </c>
      <c r="D547" s="14" t="s">
        <v>560</v>
      </c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0" t="s">
        <v>668</v>
      </c>
      <c r="B548" s="11" t="s">
        <v>214</v>
      </c>
      <c r="C548" s="12" t="str">
        <f t="shared" si="75"/>
        <v>Kohl's</v>
      </c>
      <c r="D548" s="14" t="s">
        <v>560</v>
      </c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0" t="s">
        <v>669</v>
      </c>
      <c r="B549" s="11">
        <v>43.99</v>
      </c>
      <c r="C549" s="12" t="str">
        <f>HYPERLINK("https://shopstyle.it/l/ch41b","Target")</f>
        <v>Target</v>
      </c>
      <c r="D549" s="10" t="s">
        <v>9</v>
      </c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0" t="s">
        <v>670</v>
      </c>
      <c r="B550" s="11" t="s">
        <v>54</v>
      </c>
      <c r="C550" s="12" t="str">
        <f>HYPERLINK("https://shopstyle.it/l/ch41Y","Kohl's")</f>
        <v>Kohl's</v>
      </c>
      <c r="D550" s="14" t="s">
        <v>560</v>
      </c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0" t="s">
        <v>671</v>
      </c>
      <c r="B551" s="11">
        <v>79.99</v>
      </c>
      <c r="C551" s="12" t="str">
        <f t="shared" ref="C551:C553" si="76">HYPERLINK("https://shopstyle.it/l/ch41b","Target")</f>
        <v>Target</v>
      </c>
      <c r="D551" s="10" t="s">
        <v>9</v>
      </c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0" t="s">
        <v>672</v>
      </c>
      <c r="B552" s="11">
        <v>99.99</v>
      </c>
      <c r="C552" s="12" t="str">
        <f t="shared" si="76"/>
        <v>Target</v>
      </c>
      <c r="D552" s="10" t="s">
        <v>9</v>
      </c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0" t="s">
        <v>673</v>
      </c>
      <c r="B553" s="11">
        <v>25.49</v>
      </c>
      <c r="C553" s="12" t="str">
        <f t="shared" si="76"/>
        <v>Target</v>
      </c>
      <c r="D553" s="10" t="s">
        <v>9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0" t="s">
        <v>674</v>
      </c>
      <c r="B554" s="11" t="s">
        <v>675</v>
      </c>
      <c r="C554" s="12" t="str">
        <f t="shared" ref="C554:C555" si="77">HYPERLINK("https://costco.com","Costco")</f>
        <v>Costco</v>
      </c>
      <c r="D554" s="10" t="s">
        <v>666</v>
      </c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0" t="s">
        <v>676</v>
      </c>
      <c r="B555" s="11" t="s">
        <v>677</v>
      </c>
      <c r="C555" s="12" t="str">
        <f t="shared" si="77"/>
        <v>Costco</v>
      </c>
      <c r="D555" s="10" t="s">
        <v>61</v>
      </c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0"/>
      <c r="B556" s="7"/>
      <c r="C556" s="10"/>
      <c r="D556" s="10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9" t="s">
        <v>678</v>
      </c>
      <c r="B557" s="7"/>
      <c r="C557" s="10"/>
      <c r="D557" s="10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0" t="s">
        <v>679</v>
      </c>
      <c r="B558" s="11">
        <v>449.0</v>
      </c>
      <c r="C558" s="12" t="str">
        <f>HYPERLINK("https://go.magik.ly/ml/sfil/","Home Depot")</f>
        <v>Home Depot</v>
      </c>
      <c r="D558" s="10" t="s">
        <v>248</v>
      </c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0" t="s">
        <v>680</v>
      </c>
      <c r="B559" s="11">
        <v>599.99</v>
      </c>
      <c r="C559" s="12" t="str">
        <f t="shared" ref="C559:C561" si="78">HYPERLINK("https://costco.com","Costco")</f>
        <v>Costco</v>
      </c>
      <c r="D559" s="10" t="s">
        <v>148</v>
      </c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0" t="s">
        <v>681</v>
      </c>
      <c r="B560" s="11">
        <v>899.99</v>
      </c>
      <c r="C560" s="12" t="str">
        <f t="shared" si="78"/>
        <v>Costco</v>
      </c>
      <c r="D560" s="10" t="s">
        <v>268</v>
      </c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0" t="s">
        <v>682</v>
      </c>
      <c r="B561" s="11">
        <v>79.99</v>
      </c>
      <c r="C561" s="12" t="str">
        <f t="shared" si="78"/>
        <v>Costco</v>
      </c>
      <c r="D561" s="10" t="s">
        <v>70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0" t="s">
        <v>683</v>
      </c>
      <c r="B562" s="11">
        <v>99.0</v>
      </c>
      <c r="C562" s="12" t="str">
        <f t="shared" ref="C562:C565" si="79">HYPERLINK("https://go.magik.ly/ml/sfil/","Home Depot")</f>
        <v>Home Depot</v>
      </c>
      <c r="D562" s="10" t="s">
        <v>248</v>
      </c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0" t="s">
        <v>684</v>
      </c>
      <c r="B563" s="11">
        <v>350.0</v>
      </c>
      <c r="C563" s="12" t="str">
        <f t="shared" si="79"/>
        <v>Home Depot</v>
      </c>
      <c r="D563" s="10" t="s">
        <v>248</v>
      </c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0" t="s">
        <v>685</v>
      </c>
      <c r="B564" s="11">
        <v>450.0</v>
      </c>
      <c r="C564" s="12" t="str">
        <f t="shared" si="79"/>
        <v>Home Depot</v>
      </c>
      <c r="D564" s="10" t="s">
        <v>248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0" t="s">
        <v>686</v>
      </c>
      <c r="B565" s="11">
        <v>179.0</v>
      </c>
      <c r="C565" s="12" t="str">
        <f t="shared" si="79"/>
        <v>Home Depot</v>
      </c>
      <c r="D565" s="10" t="s">
        <v>248</v>
      </c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0" t="s">
        <v>687</v>
      </c>
      <c r="B566" s="11">
        <v>299.99</v>
      </c>
      <c r="C566" s="12" t="str">
        <f>HYPERLINK("https://costco.com","Costco")</f>
        <v>Costco</v>
      </c>
      <c r="D566" s="10" t="s">
        <v>66</v>
      </c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0" t="s">
        <v>688</v>
      </c>
      <c r="B567" s="11">
        <v>64.0</v>
      </c>
      <c r="C567" s="12" t="str">
        <f t="shared" ref="C567:C572" si="80">HYPERLINK("https://go.magik.ly/ml/sfil/","Home Depot")</f>
        <v>Home Depot</v>
      </c>
      <c r="D567" s="10" t="s">
        <v>344</v>
      </c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0" t="s">
        <v>689</v>
      </c>
      <c r="B568" s="11">
        <v>69.88</v>
      </c>
      <c r="C568" s="12" t="str">
        <f t="shared" si="80"/>
        <v>Home Depot</v>
      </c>
      <c r="D568" s="10" t="s">
        <v>344</v>
      </c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0" t="s">
        <v>690</v>
      </c>
      <c r="B569" s="11">
        <v>999.0</v>
      </c>
      <c r="C569" s="12" t="str">
        <f t="shared" si="80"/>
        <v>Home Depot</v>
      </c>
      <c r="D569" s="10" t="s">
        <v>344</v>
      </c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0" t="s">
        <v>691</v>
      </c>
      <c r="B570" s="11">
        <v>269.0</v>
      </c>
      <c r="C570" s="12" t="str">
        <f t="shared" si="80"/>
        <v>Home Depot</v>
      </c>
      <c r="D570" s="10" t="s">
        <v>344</v>
      </c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0" t="s">
        <v>692</v>
      </c>
      <c r="B571" s="11">
        <v>499.0</v>
      </c>
      <c r="C571" s="12" t="str">
        <f t="shared" si="80"/>
        <v>Home Depot</v>
      </c>
      <c r="D571" s="10" t="s">
        <v>344</v>
      </c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0" t="s">
        <v>693</v>
      </c>
      <c r="B572" s="11">
        <v>80.0</v>
      </c>
      <c r="C572" s="12" t="str">
        <f t="shared" si="80"/>
        <v>Home Depot</v>
      </c>
      <c r="D572" s="10" t="s">
        <v>248</v>
      </c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0" t="s">
        <v>694</v>
      </c>
      <c r="B573" s="11">
        <v>2699.99</v>
      </c>
      <c r="C573" s="12" t="str">
        <f t="shared" ref="C573:C574" si="81">HYPERLINK("https://costco.com","Costco")</f>
        <v>Costco</v>
      </c>
      <c r="D573" s="10" t="s">
        <v>256</v>
      </c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0" t="s">
        <v>695</v>
      </c>
      <c r="B574" s="11">
        <v>549.99</v>
      </c>
      <c r="C574" s="12" t="str">
        <f t="shared" si="81"/>
        <v>Costco</v>
      </c>
      <c r="D574" s="10" t="s">
        <v>696</v>
      </c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0" t="s">
        <v>697</v>
      </c>
      <c r="B575" s="11">
        <v>115.0</v>
      </c>
      <c r="C575" s="12" t="str">
        <f>HYPERLINK("https://go.magik.ly/ml/sfil/","Home Depot")</f>
        <v>Home Depot</v>
      </c>
      <c r="D575" s="10" t="s">
        <v>248</v>
      </c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0" t="s">
        <v>698</v>
      </c>
      <c r="B576" s="11" t="s">
        <v>699</v>
      </c>
      <c r="C576" s="12" t="str">
        <f t="shared" ref="C576:C582" si="82">HYPERLINK("https://costco.com","Costco")</f>
        <v>Costco</v>
      </c>
      <c r="D576" s="10" t="s">
        <v>700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0" t="s">
        <v>701</v>
      </c>
      <c r="B577" s="11">
        <v>499.99</v>
      </c>
      <c r="C577" s="12" t="str">
        <f t="shared" si="82"/>
        <v>Costco</v>
      </c>
      <c r="D577" s="10" t="s">
        <v>70</v>
      </c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0" t="s">
        <v>702</v>
      </c>
      <c r="B578" s="11">
        <v>549.99</v>
      </c>
      <c r="C578" s="12" t="str">
        <f t="shared" si="82"/>
        <v>Costco</v>
      </c>
      <c r="D578" s="10" t="s">
        <v>256</v>
      </c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0" t="s">
        <v>703</v>
      </c>
      <c r="B579" s="11">
        <v>119.0</v>
      </c>
      <c r="C579" s="12" t="str">
        <f t="shared" si="82"/>
        <v>Costco</v>
      </c>
      <c r="D579" s="10" t="s">
        <v>70</v>
      </c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0" t="s">
        <v>704</v>
      </c>
      <c r="B580" s="11">
        <v>2399.99</v>
      </c>
      <c r="C580" s="12" t="str">
        <f t="shared" si="82"/>
        <v>Costco</v>
      </c>
      <c r="D580" s="10" t="s">
        <v>696</v>
      </c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0" t="s">
        <v>705</v>
      </c>
      <c r="B581" s="11">
        <v>499.99</v>
      </c>
      <c r="C581" s="12" t="str">
        <f t="shared" si="82"/>
        <v>Costco</v>
      </c>
      <c r="D581" s="10" t="s">
        <v>61</v>
      </c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0" t="s">
        <v>706</v>
      </c>
      <c r="B582" s="11">
        <v>1999.99</v>
      </c>
      <c r="C582" s="12" t="str">
        <f t="shared" si="82"/>
        <v>Costco</v>
      </c>
      <c r="D582" s="10" t="s">
        <v>256</v>
      </c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0" t="s">
        <v>707</v>
      </c>
      <c r="B583" s="11">
        <v>299.0</v>
      </c>
      <c r="C583" s="12" t="str">
        <f t="shared" ref="C583:C585" si="83">HYPERLINK("https://go.magik.ly/ml/sfil/","Home Depot")</f>
        <v>Home Depot</v>
      </c>
      <c r="D583" s="10" t="s">
        <v>248</v>
      </c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0" t="s">
        <v>708</v>
      </c>
      <c r="B584" s="11">
        <v>39.88</v>
      </c>
      <c r="C584" s="12" t="str">
        <f t="shared" si="83"/>
        <v>Home Depot</v>
      </c>
      <c r="D584" s="10" t="s">
        <v>344</v>
      </c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0" t="s">
        <v>709</v>
      </c>
      <c r="B585" s="11">
        <v>299.0</v>
      </c>
      <c r="C585" s="12" t="str">
        <f t="shared" si="83"/>
        <v>Home Depot</v>
      </c>
      <c r="D585" s="10" t="s">
        <v>344</v>
      </c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0" t="s">
        <v>710</v>
      </c>
      <c r="B586" s="11">
        <v>1499.99</v>
      </c>
      <c r="C586" s="12" t="str">
        <f>HYPERLINK("https://costco.com","Costco")</f>
        <v>Costco</v>
      </c>
      <c r="D586" s="10" t="s">
        <v>70</v>
      </c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0" t="s">
        <v>711</v>
      </c>
      <c r="B587" s="11">
        <v>2999.0</v>
      </c>
      <c r="C587" s="12" t="str">
        <f>HYPERLINK("https://go.magik.ly/ml/sfil/","Home Depot")</f>
        <v>Home Depot</v>
      </c>
      <c r="D587" s="10" t="s">
        <v>248</v>
      </c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0" t="s">
        <v>712</v>
      </c>
      <c r="B588" s="11">
        <v>379.99</v>
      </c>
      <c r="C588" s="12" t="str">
        <f>HYPERLINK("https://costco.com","Costco")</f>
        <v>Costco</v>
      </c>
      <c r="D588" s="10" t="s">
        <v>61</v>
      </c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0" t="s">
        <v>713</v>
      </c>
      <c r="B589" s="11">
        <v>229.0</v>
      </c>
      <c r="C589" s="12" t="str">
        <f t="shared" ref="C589:C591" si="84">HYPERLINK("https://go.magik.ly/ml/sfil/","Home Depot")</f>
        <v>Home Depot</v>
      </c>
      <c r="D589" s="10" t="s">
        <v>248</v>
      </c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0" t="s">
        <v>714</v>
      </c>
      <c r="B590" s="11">
        <v>329.0</v>
      </c>
      <c r="C590" s="12" t="str">
        <f t="shared" si="84"/>
        <v>Home Depot</v>
      </c>
      <c r="D590" s="10" t="s">
        <v>248</v>
      </c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0" t="s">
        <v>715</v>
      </c>
      <c r="B591" s="11">
        <v>99.88</v>
      </c>
      <c r="C591" s="12" t="str">
        <f t="shared" si="84"/>
        <v>Home Depot</v>
      </c>
      <c r="D591" s="10" t="s">
        <v>248</v>
      </c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0" t="s">
        <v>716</v>
      </c>
      <c r="B592" s="11">
        <v>899.99</v>
      </c>
      <c r="C592" s="12" t="str">
        <f>HYPERLINK("https://costco.com","Costco")</f>
        <v>Costco</v>
      </c>
      <c r="D592" s="10" t="s">
        <v>256</v>
      </c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0"/>
      <c r="B593" s="7"/>
      <c r="C593" s="10"/>
      <c r="D593" s="10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9" t="s">
        <v>717</v>
      </c>
      <c r="B594" s="7"/>
      <c r="C594" s="10"/>
      <c r="D594" s="10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0" t="s">
        <v>718</v>
      </c>
      <c r="B595" s="11">
        <v>139.99</v>
      </c>
      <c r="C595" s="12" t="str">
        <f>HYPERLINK("https://costco.com","Costco")</f>
        <v>Costco</v>
      </c>
      <c r="D595" s="10" t="s">
        <v>268</v>
      </c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0" t="s">
        <v>719</v>
      </c>
      <c r="B596" s="11" t="s">
        <v>205</v>
      </c>
      <c r="C596" s="12" t="str">
        <f t="shared" ref="C596:C597" si="85">HYPERLINK("https://shopstyle.it/l/ch41b","Target")</f>
        <v>Target</v>
      </c>
      <c r="D596" s="10" t="s">
        <v>9</v>
      </c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0" t="s">
        <v>720</v>
      </c>
      <c r="B597" s="11" t="s">
        <v>205</v>
      </c>
      <c r="C597" s="12" t="str">
        <f t="shared" si="85"/>
        <v>Target</v>
      </c>
      <c r="D597" s="10" t="s">
        <v>9</v>
      </c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0" t="s">
        <v>721</v>
      </c>
      <c r="B598" s="11" t="s">
        <v>722</v>
      </c>
      <c r="C598" s="12" t="str">
        <f t="shared" ref="C598:C600" si="86">HYPERLINK("https://shopstyle.it/l/ch41Y","Kohl's")</f>
        <v>Kohl's</v>
      </c>
      <c r="D598" s="14" t="s">
        <v>560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0" t="s">
        <v>723</v>
      </c>
      <c r="B599" s="11">
        <v>50.99</v>
      </c>
      <c r="C599" s="12" t="str">
        <f t="shared" si="86"/>
        <v>Kohl's</v>
      </c>
      <c r="D599" s="14" t="s">
        <v>575</v>
      </c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0" t="s">
        <v>724</v>
      </c>
      <c r="B600" s="11">
        <v>50.99</v>
      </c>
      <c r="C600" s="12" t="str">
        <f t="shared" si="86"/>
        <v>Kohl's</v>
      </c>
      <c r="D600" s="14" t="s">
        <v>575</v>
      </c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0" t="s">
        <v>725</v>
      </c>
      <c r="B601" s="11" t="s">
        <v>205</v>
      </c>
      <c r="C601" s="12" t="str">
        <f t="shared" ref="C601:C602" si="87">HYPERLINK("https://shopstyle.it/l/ch41b","Target")</f>
        <v>Target</v>
      </c>
      <c r="D601" s="10" t="s">
        <v>9</v>
      </c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0" t="s">
        <v>726</v>
      </c>
      <c r="B602" s="11" t="s">
        <v>205</v>
      </c>
      <c r="C602" s="12" t="str">
        <f t="shared" si="87"/>
        <v>Target</v>
      </c>
      <c r="D602" s="10" t="s">
        <v>9</v>
      </c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0"/>
      <c r="B603" s="7"/>
      <c r="C603" s="10"/>
      <c r="D603" s="10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9" t="s">
        <v>727</v>
      </c>
      <c r="B604" s="7"/>
      <c r="C604" s="10"/>
      <c r="D604" s="10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0" t="s">
        <v>728</v>
      </c>
      <c r="B605" s="11">
        <v>129.99</v>
      </c>
      <c r="C605" s="12" t="str">
        <f>HYPERLINK("https://shopstyle.it/l/ch41Y","Kohl's")</f>
        <v>Kohl's</v>
      </c>
      <c r="D605" s="14" t="s">
        <v>729</v>
      </c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0" t="s">
        <v>730</v>
      </c>
      <c r="B606" s="11">
        <v>109.99</v>
      </c>
      <c r="C606" s="12" t="str">
        <f>HYPERLINK("https://shopstyle.it/l/ch41b","Target")</f>
        <v>Target</v>
      </c>
      <c r="D606" s="10" t="s">
        <v>9</v>
      </c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0" t="s">
        <v>731</v>
      </c>
      <c r="B607" s="11">
        <v>149.99</v>
      </c>
      <c r="C607" s="12" t="str">
        <f>HYPERLINK("https://costco.com","Costco")</f>
        <v>Costco</v>
      </c>
      <c r="D607" s="10" t="s">
        <v>70</v>
      </c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0" t="s">
        <v>732</v>
      </c>
      <c r="B608" s="11">
        <v>179.99</v>
      </c>
      <c r="C608" s="12" t="str">
        <f t="shared" ref="C608:C609" si="88">HYPERLINK("https://shopstyle.it/l/ch41b","Target")</f>
        <v>Target</v>
      </c>
      <c r="D608" s="10" t="s">
        <v>9</v>
      </c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0" t="s">
        <v>733</v>
      </c>
      <c r="B609" s="11">
        <v>108.99</v>
      </c>
      <c r="C609" s="12" t="str">
        <f t="shared" si="88"/>
        <v>Target</v>
      </c>
      <c r="D609" s="10" t="s">
        <v>9</v>
      </c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0" t="s">
        <v>734</v>
      </c>
      <c r="B610" s="11">
        <v>89.99</v>
      </c>
      <c r="C610" s="12" t="str">
        <f>HYPERLINK("https://shopstyle.it/l/ch41Y","Kohl's")</f>
        <v>Kohl's</v>
      </c>
      <c r="D610" s="14" t="s">
        <v>729</v>
      </c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0" t="s">
        <v>735</v>
      </c>
      <c r="B611" s="11">
        <v>79.0</v>
      </c>
      <c r="C611" s="12" t="str">
        <f>HYPERLINK("https://go.magik.ly/ml/sfil/","Home Depot")</f>
        <v>Home Depot</v>
      </c>
      <c r="D611" s="10" t="s">
        <v>248</v>
      </c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0" t="s">
        <v>736</v>
      </c>
      <c r="B612" s="11">
        <v>299.99</v>
      </c>
      <c r="C612" s="12" t="str">
        <f>HYPERLINK("https://costco.com","Costco")</f>
        <v>Costco</v>
      </c>
      <c r="D612" s="10" t="s">
        <v>129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0" t="s">
        <v>737</v>
      </c>
      <c r="B613" s="11">
        <v>399.99</v>
      </c>
      <c r="C613" s="12" t="str">
        <f>HYPERLINK("https://shopstyle.it/l/ch41b","Target")</f>
        <v>Target</v>
      </c>
      <c r="D613" s="10" t="s">
        <v>9</v>
      </c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0" t="s">
        <v>738</v>
      </c>
      <c r="B614" s="11">
        <v>399.99</v>
      </c>
      <c r="C614" s="12" t="str">
        <f>HYPERLINK("https://go.magik.ly/ml/rtk9/","Walmart")</f>
        <v>Walmart</v>
      </c>
      <c r="D614" s="10" t="s">
        <v>200</v>
      </c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0" t="s">
        <v>739</v>
      </c>
      <c r="B615" s="11">
        <v>499.99</v>
      </c>
      <c r="C615" s="12" t="str">
        <f>HYPERLINK("https://costco.com","Costco")</f>
        <v>Costco</v>
      </c>
      <c r="D615" s="10" t="s">
        <v>129</v>
      </c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0" t="s">
        <v>740</v>
      </c>
      <c r="B616" s="11">
        <v>269.99</v>
      </c>
      <c r="C616" s="12" t="str">
        <f>HYPERLINK("https://shopstyle.it/l/ch41b","Target")</f>
        <v>Target</v>
      </c>
      <c r="D616" s="10" t="s">
        <v>9</v>
      </c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0" t="s">
        <v>741</v>
      </c>
      <c r="B617" s="11">
        <v>329.99</v>
      </c>
      <c r="C617" s="12" t="str">
        <f>HYPERLINK("https://costco.com","Costco")</f>
        <v>Costco</v>
      </c>
      <c r="D617" s="10" t="s">
        <v>70</v>
      </c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0" t="s">
        <v>742</v>
      </c>
      <c r="B618" s="11" t="s">
        <v>214</v>
      </c>
      <c r="C618" s="12" t="str">
        <f>HYPERLINK("https://shopstyle.it/l/ch41Y","Kohl's")</f>
        <v>Kohl's</v>
      </c>
      <c r="D618" s="14" t="s">
        <v>729</v>
      </c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0" t="s">
        <v>743</v>
      </c>
      <c r="B619" s="11">
        <v>99.0</v>
      </c>
      <c r="C619" s="12" t="str">
        <f>HYPERLINK("https://go.magik.ly/ml/sfil/","Home Depot")</f>
        <v>Home Depot</v>
      </c>
      <c r="D619" s="10" t="s">
        <v>248</v>
      </c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0" t="s">
        <v>744</v>
      </c>
      <c r="B620" s="11">
        <v>429.99</v>
      </c>
      <c r="C620" s="12" t="str">
        <f>HYPERLINK("https://costco.com","Costco")</f>
        <v>Costco</v>
      </c>
      <c r="D620" s="10" t="s">
        <v>66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0" t="s">
        <v>745</v>
      </c>
      <c r="B621" s="11">
        <v>99.99</v>
      </c>
      <c r="C621" s="12" t="str">
        <f t="shared" ref="C621:C623" si="89">HYPERLINK("https://shopstyle.it/l/ch41Y","Kohl's")</f>
        <v>Kohl's</v>
      </c>
      <c r="D621" s="14" t="s">
        <v>226</v>
      </c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0" t="s">
        <v>746</v>
      </c>
      <c r="B622" s="11">
        <v>149.99</v>
      </c>
      <c r="C622" s="12" t="str">
        <f t="shared" si="89"/>
        <v>Kohl's</v>
      </c>
      <c r="D622" s="14" t="s">
        <v>729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0" t="s">
        <v>747</v>
      </c>
      <c r="B623" s="11">
        <v>699.99</v>
      </c>
      <c r="C623" s="12" t="str">
        <f t="shared" si="89"/>
        <v>Kohl's</v>
      </c>
      <c r="D623" s="14" t="s">
        <v>729</v>
      </c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0" t="s">
        <v>748</v>
      </c>
      <c r="B624" s="11">
        <v>139.99</v>
      </c>
      <c r="C624" s="12" t="str">
        <f>HYPERLINK("https://shopstyle.it/l/ch41b","Target")</f>
        <v>Target</v>
      </c>
      <c r="D624" s="10" t="s">
        <v>9</v>
      </c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0" t="s">
        <v>749</v>
      </c>
      <c r="B625" s="11">
        <v>149.99</v>
      </c>
      <c r="C625" s="12" t="str">
        <f>HYPERLINK("https://shopstyle.it/l/ch41Y","Kohl's")</f>
        <v>Kohl's</v>
      </c>
      <c r="D625" s="14" t="s">
        <v>729</v>
      </c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0" t="s">
        <v>750</v>
      </c>
      <c r="B626" s="11">
        <v>179.99</v>
      </c>
      <c r="C626" s="12" t="str">
        <f t="shared" ref="C626:C627" si="90">HYPERLINK("https://shopstyle.it/l/ch41b","Target")</f>
        <v>Target</v>
      </c>
      <c r="D626" s="10" t="s">
        <v>9</v>
      </c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0" t="s">
        <v>751</v>
      </c>
      <c r="B627" s="11">
        <v>389.99</v>
      </c>
      <c r="C627" s="12" t="str">
        <f t="shared" si="90"/>
        <v>Target</v>
      </c>
      <c r="D627" s="10" t="s">
        <v>9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0" t="s">
        <v>752</v>
      </c>
      <c r="B628" s="11">
        <v>199.0</v>
      </c>
      <c r="C628" s="12" t="str">
        <f>HYPERLINK("https://go.magik.ly/ml/sfil/","Home Depot")</f>
        <v>Home Depot</v>
      </c>
      <c r="D628" s="10" t="s">
        <v>248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0" t="s">
        <v>753</v>
      </c>
      <c r="B629" s="11">
        <v>99.99</v>
      </c>
      <c r="C629" s="12" t="str">
        <f t="shared" ref="C629:C631" si="91">HYPERLINK("https://shopstyle.it/l/ch41Y","Kohl's")</f>
        <v>Kohl's</v>
      </c>
      <c r="D629" s="14" t="s">
        <v>226</v>
      </c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0" t="s">
        <v>754</v>
      </c>
      <c r="B630" s="11">
        <v>149.99</v>
      </c>
      <c r="C630" s="12" t="str">
        <f t="shared" si="91"/>
        <v>Kohl's</v>
      </c>
      <c r="D630" s="14" t="s">
        <v>729</v>
      </c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0" t="s">
        <v>755</v>
      </c>
      <c r="B631" s="11">
        <v>199.99</v>
      </c>
      <c r="C631" s="12" t="str">
        <f t="shared" si="91"/>
        <v>Kohl's</v>
      </c>
      <c r="D631" s="14" t="s">
        <v>729</v>
      </c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0" t="s">
        <v>756</v>
      </c>
      <c r="B632" s="11">
        <v>79.99</v>
      </c>
      <c r="C632" s="12" t="str">
        <f t="shared" ref="C632:C633" si="92">HYPERLINK("https://shopstyle.it/l/ch41b","Target")</f>
        <v>Target</v>
      </c>
      <c r="D632" s="10" t="s">
        <v>9</v>
      </c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0" t="s">
        <v>757</v>
      </c>
      <c r="B633" s="11">
        <v>179.99</v>
      </c>
      <c r="C633" s="12" t="str">
        <f t="shared" si="92"/>
        <v>Target</v>
      </c>
      <c r="D633" s="10" t="s">
        <v>9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0" t="s">
        <v>758</v>
      </c>
      <c r="B634" s="11">
        <v>199.99</v>
      </c>
      <c r="C634" s="12" t="str">
        <f>HYPERLINK("https://shopstyle.it/l/ch41Y","Kohl's")</f>
        <v>Kohl's</v>
      </c>
      <c r="D634" s="14" t="s">
        <v>226</v>
      </c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0" t="s">
        <v>759</v>
      </c>
      <c r="B635" s="11">
        <v>219.99</v>
      </c>
      <c r="C635" s="12" t="str">
        <f>HYPERLINK("https://costco.com","Costco")</f>
        <v>Costco</v>
      </c>
      <c r="D635" s="10" t="s">
        <v>61</v>
      </c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0"/>
      <c r="B636" s="7"/>
      <c r="C636" s="10"/>
      <c r="D636" s="10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9" t="s">
        <v>760</v>
      </c>
      <c r="B637" s="7"/>
      <c r="C637" s="10"/>
      <c r="D637" s="10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0" t="s">
        <v>761</v>
      </c>
      <c r="B638" s="11">
        <v>34.0</v>
      </c>
      <c r="C638" s="12" t="str">
        <f>HYPERLINK("https://go.magik.ly/ml/sfil/","Home Depot")</f>
        <v>Home Depot</v>
      </c>
      <c r="D638" s="10" t="s">
        <v>248</v>
      </c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0" t="s">
        <v>762</v>
      </c>
      <c r="B639" s="11">
        <v>12.74</v>
      </c>
      <c r="C639" s="12" t="str">
        <f t="shared" ref="C639:C644" si="93">HYPERLINK("https://shopstyle.it/l/ch41Y","Kohl's")</f>
        <v>Kohl's</v>
      </c>
      <c r="D639" s="14" t="s">
        <v>575</v>
      </c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0" t="s">
        <v>763</v>
      </c>
      <c r="B640" s="11">
        <v>2.54</v>
      </c>
      <c r="C640" s="12" t="str">
        <f t="shared" si="93"/>
        <v>Kohl's</v>
      </c>
      <c r="D640" s="14" t="s">
        <v>764</v>
      </c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0" t="s">
        <v>765</v>
      </c>
      <c r="B641" s="11" t="s">
        <v>766</v>
      </c>
      <c r="C641" s="12" t="str">
        <f t="shared" si="93"/>
        <v>Kohl's</v>
      </c>
      <c r="D641" s="14" t="s">
        <v>560</v>
      </c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0" t="s">
        <v>767</v>
      </c>
      <c r="B642" s="11" t="s">
        <v>214</v>
      </c>
      <c r="C642" s="12" t="str">
        <f t="shared" si="93"/>
        <v>Kohl's</v>
      </c>
      <c r="D642" s="14" t="s">
        <v>560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0" t="s">
        <v>768</v>
      </c>
      <c r="B643" s="11">
        <v>8.49</v>
      </c>
      <c r="C643" s="12" t="str">
        <f t="shared" si="93"/>
        <v>Kohl's</v>
      </c>
      <c r="D643" s="14" t="s">
        <v>764</v>
      </c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0" t="s">
        <v>769</v>
      </c>
      <c r="B644" s="11">
        <v>19.99</v>
      </c>
      <c r="C644" s="12" t="str">
        <f t="shared" si="93"/>
        <v>Kohl's</v>
      </c>
      <c r="D644" s="14" t="s">
        <v>729</v>
      </c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0" t="s">
        <v>770</v>
      </c>
      <c r="B645" s="11" t="s">
        <v>205</v>
      </c>
      <c r="C645" s="12" t="str">
        <f t="shared" ref="C645:C646" si="94">HYPERLINK("https://shopstyle.it/l/ch41b","Target")</f>
        <v>Target</v>
      </c>
      <c r="D645" s="10" t="s">
        <v>771</v>
      </c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0" t="s">
        <v>772</v>
      </c>
      <c r="B646" s="11" t="s">
        <v>205</v>
      </c>
      <c r="C646" s="12" t="str">
        <f t="shared" si="94"/>
        <v>Target</v>
      </c>
      <c r="D646" s="10" t="s">
        <v>771</v>
      </c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0" t="s">
        <v>773</v>
      </c>
      <c r="B647" s="11" t="s">
        <v>366</v>
      </c>
      <c r="C647" s="12" t="str">
        <f t="shared" ref="C647:C648" si="95">HYPERLINK("https://costco.com","Costco")</f>
        <v>Costco</v>
      </c>
      <c r="D647" s="10" t="s">
        <v>64</v>
      </c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0" t="s">
        <v>774</v>
      </c>
      <c r="B648" s="11" t="s">
        <v>775</v>
      </c>
      <c r="C648" s="12" t="str">
        <f t="shared" si="95"/>
        <v>Costco</v>
      </c>
      <c r="D648" s="10" t="s">
        <v>64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0"/>
      <c r="B649" s="7"/>
      <c r="C649" s="10"/>
      <c r="D649" s="10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9" t="s">
        <v>776</v>
      </c>
      <c r="B650" s="7"/>
      <c r="C650" s="10"/>
      <c r="D650" s="10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0" t="s">
        <v>777</v>
      </c>
      <c r="B651" s="11" t="s">
        <v>778</v>
      </c>
      <c r="C651" s="12" t="str">
        <f>HYPERLINK("https://shopstyle.it/l/ch41Y","Kohl's")</f>
        <v>Kohl's</v>
      </c>
      <c r="D651" s="14" t="s">
        <v>226</v>
      </c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0" t="s">
        <v>779</v>
      </c>
      <c r="B652" s="11">
        <v>249.99</v>
      </c>
      <c r="C652" s="12" t="str">
        <f>HYPERLINK("https://costco.com","Costco")</f>
        <v>Costco</v>
      </c>
      <c r="D652" s="10" t="s">
        <v>256</v>
      </c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0" t="s">
        <v>780</v>
      </c>
      <c r="B653" s="11" t="s">
        <v>781</v>
      </c>
      <c r="C653" s="12" t="str">
        <f t="shared" ref="C653:C654" si="96">HYPERLINK("https://shopstyle.it/l/ch41Y","Kohl's")</f>
        <v>Kohl's</v>
      </c>
      <c r="D653" s="14" t="s">
        <v>764</v>
      </c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0" t="s">
        <v>782</v>
      </c>
      <c r="B654" s="11">
        <v>2.54</v>
      </c>
      <c r="C654" s="12" t="str">
        <f t="shared" si="96"/>
        <v>Kohl's</v>
      </c>
      <c r="D654" s="14" t="s">
        <v>764</v>
      </c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0" t="s">
        <v>783</v>
      </c>
      <c r="B655" s="11" t="s">
        <v>205</v>
      </c>
      <c r="C655" s="12" t="str">
        <f>HYPERLINK("https://shopstyle.it/l/ch41b","Target")</f>
        <v>Target</v>
      </c>
      <c r="D655" s="10" t="s">
        <v>9</v>
      </c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0"/>
      <c r="B656" s="7"/>
      <c r="C656" s="10"/>
      <c r="D656" s="10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9" t="s">
        <v>784</v>
      </c>
      <c r="B657" s="7"/>
      <c r="C657" s="10"/>
      <c r="D657" s="10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0" t="s">
        <v>785</v>
      </c>
      <c r="B658" s="11">
        <v>699.99</v>
      </c>
      <c r="C658" s="12" t="str">
        <f>HYPERLINK("https://costco.com","Costco")</f>
        <v>Costco</v>
      </c>
      <c r="D658" s="10" t="s">
        <v>66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0"/>
      <c r="B659" s="7"/>
      <c r="C659" s="10"/>
      <c r="D659" s="10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9" t="s">
        <v>786</v>
      </c>
      <c r="B660" s="7"/>
      <c r="C660" s="10"/>
      <c r="D660" s="10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0" t="s">
        <v>787</v>
      </c>
      <c r="B661" s="11" t="s">
        <v>788</v>
      </c>
      <c r="C661" s="12" t="str">
        <f>HYPERLINK("https://shopstyle.it/l/ch41b","Target")</f>
        <v>Target</v>
      </c>
      <c r="D661" s="10" t="s">
        <v>789</v>
      </c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0" t="s">
        <v>790</v>
      </c>
      <c r="B662" s="11" t="s">
        <v>675</v>
      </c>
      <c r="C662" s="12" t="str">
        <f t="shared" ref="C662:C663" si="97">HYPERLINK("https://costco.com","Costco")</f>
        <v>Costco</v>
      </c>
      <c r="D662" s="10" t="s">
        <v>298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0" t="s">
        <v>791</v>
      </c>
      <c r="B663" s="11">
        <v>34.99</v>
      </c>
      <c r="C663" s="12" t="str">
        <f t="shared" si="97"/>
        <v>Costco</v>
      </c>
      <c r="D663" s="10" t="s">
        <v>268</v>
      </c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0" t="s">
        <v>792</v>
      </c>
      <c r="B664" s="11">
        <v>29.97</v>
      </c>
      <c r="C664" s="12" t="str">
        <f>HYPERLINK("https://go.magik.ly/ml/sfil/","Home Depot")</f>
        <v>Home Depot</v>
      </c>
      <c r="D664" s="10" t="s">
        <v>248</v>
      </c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0" t="s">
        <v>793</v>
      </c>
      <c r="B665" s="11" t="s">
        <v>205</v>
      </c>
      <c r="C665" s="12" t="str">
        <f t="shared" ref="C665:C666" si="98">HYPERLINK("https://shopstyle.it/l/ch41b","Target")</f>
        <v>Target</v>
      </c>
      <c r="D665" s="10" t="s">
        <v>9</v>
      </c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0" t="s">
        <v>794</v>
      </c>
      <c r="B666" s="11" t="s">
        <v>205</v>
      </c>
      <c r="C666" s="12" t="str">
        <f t="shared" si="98"/>
        <v>Target</v>
      </c>
      <c r="D666" s="10" t="s">
        <v>9</v>
      </c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0" t="s">
        <v>795</v>
      </c>
      <c r="B667" s="11" t="s">
        <v>559</v>
      </c>
      <c r="C667" s="12" t="str">
        <f>HYPERLINK("https://shopstyle.it/l/ch41Y","Kohl's")</f>
        <v>Kohl's</v>
      </c>
      <c r="D667" s="14" t="s">
        <v>560</v>
      </c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0" t="s">
        <v>796</v>
      </c>
      <c r="B668" s="11">
        <v>9.93</v>
      </c>
      <c r="C668" s="12" t="str">
        <f t="shared" ref="C668:C673" si="99">HYPERLINK("https://go.magik.ly/ml/sfil/","Home Depot")</f>
        <v>Home Depot</v>
      </c>
      <c r="D668" s="10" t="s">
        <v>370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0" t="s">
        <v>797</v>
      </c>
      <c r="B669" s="11">
        <v>9.88</v>
      </c>
      <c r="C669" s="12" t="str">
        <f t="shared" si="99"/>
        <v>Home Depot</v>
      </c>
      <c r="D669" s="10" t="s">
        <v>344</v>
      </c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0" t="s">
        <v>798</v>
      </c>
      <c r="B670" s="11">
        <v>74.88</v>
      </c>
      <c r="C670" s="12" t="str">
        <f t="shared" si="99"/>
        <v>Home Depot</v>
      </c>
      <c r="D670" s="10" t="s">
        <v>344</v>
      </c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0" t="s">
        <v>799</v>
      </c>
      <c r="B671" s="11">
        <v>24.88</v>
      </c>
      <c r="C671" s="12" t="str">
        <f t="shared" si="99"/>
        <v>Home Depot</v>
      </c>
      <c r="D671" s="10" t="s">
        <v>344</v>
      </c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0" t="s">
        <v>800</v>
      </c>
      <c r="B672" s="11">
        <v>24.88</v>
      </c>
      <c r="C672" s="12" t="str">
        <f t="shared" si="99"/>
        <v>Home Depot</v>
      </c>
      <c r="D672" s="10" t="s">
        <v>344</v>
      </c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0" t="s">
        <v>801</v>
      </c>
      <c r="B673" s="11">
        <v>179.0</v>
      </c>
      <c r="C673" s="12" t="str">
        <f t="shared" si="99"/>
        <v>Home Depot</v>
      </c>
      <c r="D673" s="10" t="s">
        <v>344</v>
      </c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0" t="s">
        <v>802</v>
      </c>
      <c r="B674" s="11">
        <v>79.99</v>
      </c>
      <c r="C674" s="12" t="str">
        <f>HYPERLINK("https://costco.com","Costco")</f>
        <v>Costco</v>
      </c>
      <c r="D674" s="10" t="s">
        <v>337</v>
      </c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0" t="s">
        <v>803</v>
      </c>
      <c r="B675" s="11">
        <v>19.88</v>
      </c>
      <c r="C675" s="12" t="str">
        <f t="shared" ref="C675:C676" si="100">HYPERLINK("https://go.magik.ly/ml/sfil/","Home Depot")</f>
        <v>Home Depot</v>
      </c>
      <c r="D675" s="10" t="s">
        <v>248</v>
      </c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0" t="s">
        <v>804</v>
      </c>
      <c r="B676" s="11">
        <v>6.97</v>
      </c>
      <c r="C676" s="12" t="str">
        <f t="shared" si="100"/>
        <v>Home Depot</v>
      </c>
      <c r="D676" s="10" t="s">
        <v>344</v>
      </c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0" t="s">
        <v>805</v>
      </c>
      <c r="B677" s="11">
        <v>329.99</v>
      </c>
      <c r="C677" s="12" t="str">
        <f t="shared" ref="C677:C678" si="101">HYPERLINK("https://costco.com","Costco")</f>
        <v>Costco</v>
      </c>
      <c r="D677" s="10" t="s">
        <v>68</v>
      </c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0" t="s">
        <v>806</v>
      </c>
      <c r="B678" s="11">
        <v>47.99</v>
      </c>
      <c r="C678" s="12" t="str">
        <f t="shared" si="101"/>
        <v>Costco</v>
      </c>
      <c r="D678" s="10" t="s">
        <v>68</v>
      </c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0" t="s">
        <v>807</v>
      </c>
      <c r="B679" s="11" t="s">
        <v>214</v>
      </c>
      <c r="C679" s="12" t="str">
        <f t="shared" ref="C679:C680" si="102">HYPERLINK("https://shopstyle.it/l/ch41Y","Kohl's")</f>
        <v>Kohl's</v>
      </c>
      <c r="D679" s="14" t="s">
        <v>560</v>
      </c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0" t="s">
        <v>808</v>
      </c>
      <c r="B680" s="11" t="s">
        <v>766</v>
      </c>
      <c r="C680" s="12" t="str">
        <f t="shared" si="102"/>
        <v>Kohl's</v>
      </c>
      <c r="D680" s="14" t="s">
        <v>560</v>
      </c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0" t="s">
        <v>809</v>
      </c>
      <c r="B681" s="11">
        <v>9.98</v>
      </c>
      <c r="C681" s="12" t="str">
        <f>HYPERLINK("https://go.magik.ly/ml/sfil/","Home Depot")</f>
        <v>Home Depot</v>
      </c>
      <c r="D681" s="10" t="s">
        <v>248</v>
      </c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0" t="s">
        <v>810</v>
      </c>
      <c r="B682" s="11" t="s">
        <v>58</v>
      </c>
      <c r="C682" s="12" t="str">
        <f>HYPERLINK("https://shopstyle.it/l/ch41b","Target")</f>
        <v>Target</v>
      </c>
      <c r="D682" s="10" t="s">
        <v>9</v>
      </c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0"/>
      <c r="B683" s="7"/>
      <c r="C683" s="10"/>
      <c r="D683" s="10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8" t="s">
        <v>811</v>
      </c>
      <c r="B684" s="7"/>
      <c r="C684" s="10"/>
      <c r="D684" s="10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0" t="s">
        <v>812</v>
      </c>
      <c r="B685" s="11">
        <v>999.99</v>
      </c>
      <c r="C685" s="12" t="str">
        <f t="shared" ref="C685:C686" si="103">HYPERLINK("https://costco.com","Costco")</f>
        <v>Costco</v>
      </c>
      <c r="D685" s="10" t="s">
        <v>256</v>
      </c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0" t="s">
        <v>813</v>
      </c>
      <c r="B686" s="11">
        <v>3599.99</v>
      </c>
      <c r="C686" s="12" t="str">
        <f t="shared" si="103"/>
        <v>Costco</v>
      </c>
      <c r="D686" s="10" t="s">
        <v>256</v>
      </c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0" t="s">
        <v>814</v>
      </c>
      <c r="B687" s="11">
        <v>1469.0</v>
      </c>
      <c r="C687" s="12" t="str">
        <f t="shared" ref="C687:C693" si="104">HYPERLINK("https://brandcycle.shop/9dmst","Ace Hardware")</f>
        <v>Ace Hardware</v>
      </c>
      <c r="D687" s="10" t="s">
        <v>815</v>
      </c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0" t="s">
        <v>816</v>
      </c>
      <c r="B688" s="11">
        <v>1989.0</v>
      </c>
      <c r="C688" s="12" t="str">
        <f t="shared" si="104"/>
        <v>Ace Hardware</v>
      </c>
      <c r="D688" s="10" t="s">
        <v>815</v>
      </c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0" t="s">
        <v>817</v>
      </c>
      <c r="B689" s="11">
        <v>279.99</v>
      </c>
      <c r="C689" s="12" t="str">
        <f t="shared" si="104"/>
        <v>Ace Hardware</v>
      </c>
      <c r="D689" s="10" t="s">
        <v>266</v>
      </c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0" t="s">
        <v>818</v>
      </c>
      <c r="B690" s="11">
        <v>529.99</v>
      </c>
      <c r="C690" s="12" t="str">
        <f t="shared" si="104"/>
        <v>Ace Hardware</v>
      </c>
      <c r="D690" s="10" t="s">
        <v>266</v>
      </c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0" t="s">
        <v>819</v>
      </c>
      <c r="B691" s="11">
        <v>699.99</v>
      </c>
      <c r="C691" s="12" t="str">
        <f t="shared" si="104"/>
        <v>Ace Hardware</v>
      </c>
      <c r="D691" s="10" t="s">
        <v>266</v>
      </c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0" t="s">
        <v>820</v>
      </c>
      <c r="B692" s="11">
        <v>499.99</v>
      </c>
      <c r="C692" s="12" t="str">
        <f t="shared" si="104"/>
        <v>Ace Hardware</v>
      </c>
      <c r="D692" s="10" t="s">
        <v>266</v>
      </c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0" t="s">
        <v>821</v>
      </c>
      <c r="B693" s="11" t="s">
        <v>665</v>
      </c>
      <c r="C693" s="12" t="str">
        <f t="shared" si="104"/>
        <v>Ace Hardware</v>
      </c>
      <c r="D693" s="10" t="s">
        <v>348</v>
      </c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0" t="s">
        <v>822</v>
      </c>
      <c r="B694" s="11">
        <v>7999.99</v>
      </c>
      <c r="C694" s="12" t="str">
        <f>HYPERLINK("https://costco.com","Costco")</f>
        <v>Costco</v>
      </c>
      <c r="D694" s="10" t="s">
        <v>256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0" t="s">
        <v>823</v>
      </c>
      <c r="B695" s="11" t="s">
        <v>205</v>
      </c>
      <c r="C695" s="12" t="str">
        <f>HYPERLINK("https://shopstyle.it/l/ch41b","Target")</f>
        <v>Target</v>
      </c>
      <c r="D695" s="10" t="s">
        <v>9</v>
      </c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0" t="s">
        <v>824</v>
      </c>
      <c r="B696" s="11">
        <v>799.99</v>
      </c>
      <c r="C696" s="12" t="str">
        <f>HYPERLINK("https://costco.com","Costco")</f>
        <v>Costco</v>
      </c>
      <c r="D696" s="10" t="s">
        <v>256</v>
      </c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0" t="s">
        <v>825</v>
      </c>
      <c r="B697" s="11">
        <v>799.99</v>
      </c>
      <c r="C697" s="12" t="str">
        <f>HYPERLINK("https://brandcycle.shop/9dmst","Ace Hardware")</f>
        <v>Ace Hardware</v>
      </c>
      <c r="D697" s="10" t="s">
        <v>826</v>
      </c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0" t="s">
        <v>827</v>
      </c>
      <c r="B698" s="11">
        <v>219.99</v>
      </c>
      <c r="C698" s="12" t="str">
        <f>HYPERLINK("https://costco.com","Costco")</f>
        <v>Costco</v>
      </c>
      <c r="D698" s="10" t="s">
        <v>129</v>
      </c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0" t="s">
        <v>828</v>
      </c>
      <c r="B699" s="11" t="s">
        <v>665</v>
      </c>
      <c r="C699" s="12" t="str">
        <f>HYPERLINK("https://brandcycle.shop/9dmst","Ace Hardware")</f>
        <v>Ace Hardware</v>
      </c>
      <c r="D699" s="10" t="s">
        <v>348</v>
      </c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0" t="s">
        <v>829</v>
      </c>
      <c r="B700" s="11">
        <v>299.99</v>
      </c>
      <c r="C700" s="12" t="str">
        <f>HYPERLINK("https://shopstyle.it/l/ch41Y","Kohl's")</f>
        <v>Kohl's</v>
      </c>
      <c r="D700" s="14" t="s">
        <v>55</v>
      </c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0" t="s">
        <v>830</v>
      </c>
      <c r="B701" s="11">
        <v>29.99</v>
      </c>
      <c r="C701" s="12" t="str">
        <f t="shared" ref="C701:C702" si="105">HYPERLINK("https://brandcycle.shop/9dmst","Ace Hardware")</f>
        <v>Ace Hardware</v>
      </c>
      <c r="D701" s="10" t="s">
        <v>266</v>
      </c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0" t="s">
        <v>831</v>
      </c>
      <c r="B702" s="11">
        <v>34.99</v>
      </c>
      <c r="C702" s="12" t="str">
        <f t="shared" si="105"/>
        <v>Ace Hardware</v>
      </c>
      <c r="D702" s="10" t="s">
        <v>266</v>
      </c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0" t="s">
        <v>832</v>
      </c>
      <c r="B703" s="11" t="s">
        <v>205</v>
      </c>
      <c r="C703" s="12" t="str">
        <f>HYPERLINK("https://shopstyle.it/l/ch41b","Target")</f>
        <v>Target</v>
      </c>
      <c r="D703" s="10" t="s">
        <v>9</v>
      </c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0" t="s">
        <v>833</v>
      </c>
      <c r="B704" s="11" t="s">
        <v>665</v>
      </c>
      <c r="C704" s="12" t="str">
        <f t="shared" ref="C704:C705" si="106">HYPERLINK("https://brandcycle.shop/9dmst","Ace Hardware")</f>
        <v>Ace Hardware</v>
      </c>
      <c r="D704" s="10" t="s">
        <v>348</v>
      </c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0" t="s">
        <v>834</v>
      </c>
      <c r="B705" s="11">
        <v>299.99</v>
      </c>
      <c r="C705" s="12" t="str">
        <f t="shared" si="106"/>
        <v>Ace Hardware</v>
      </c>
      <c r="D705" s="10" t="s">
        <v>266</v>
      </c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0" t="s">
        <v>835</v>
      </c>
      <c r="B706" s="11">
        <v>149.0</v>
      </c>
      <c r="C706" s="12" t="str">
        <f>HYPERLINK("https://go.magik.ly/ml/rtk9/","Walmart")</f>
        <v>Walmart</v>
      </c>
      <c r="D706" s="10" t="s">
        <v>200</v>
      </c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0" t="s">
        <v>836</v>
      </c>
      <c r="B707" s="11">
        <v>35.0</v>
      </c>
      <c r="C707" s="12" t="str">
        <f t="shared" ref="C707:C708" si="107">HYPERLINK("https://brandcycle.shop/9dmst","Ace Hardware")</f>
        <v>Ace Hardware</v>
      </c>
      <c r="D707" s="10" t="s">
        <v>266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0" t="s">
        <v>837</v>
      </c>
      <c r="B708" s="11">
        <v>35.0</v>
      </c>
      <c r="C708" s="12" t="str">
        <f t="shared" si="107"/>
        <v>Ace Hardware</v>
      </c>
      <c r="D708" s="10" t="s">
        <v>266</v>
      </c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0" t="s">
        <v>838</v>
      </c>
      <c r="B709" s="11">
        <v>1399.99</v>
      </c>
      <c r="C709" s="12" t="str">
        <f t="shared" ref="C709:C710" si="108">HYPERLINK("https://costco.com","Costco")</f>
        <v>Costco</v>
      </c>
      <c r="D709" s="10" t="s">
        <v>61</v>
      </c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0" t="s">
        <v>839</v>
      </c>
      <c r="B710" s="11">
        <v>1199.99</v>
      </c>
      <c r="C710" s="12" t="str">
        <f t="shared" si="108"/>
        <v>Costco</v>
      </c>
      <c r="D710" s="10" t="s">
        <v>256</v>
      </c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0" t="s">
        <v>840</v>
      </c>
      <c r="B711" s="11">
        <v>1199.0</v>
      </c>
      <c r="C711" s="12" t="str">
        <f t="shared" ref="C711:C724" si="109">HYPERLINK("https://brandcycle.shop/9dmst","Ace Hardware")</f>
        <v>Ace Hardware</v>
      </c>
      <c r="D711" s="10" t="s">
        <v>841</v>
      </c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0" t="s">
        <v>842</v>
      </c>
      <c r="B712" s="11">
        <v>599.0</v>
      </c>
      <c r="C712" s="12" t="str">
        <f t="shared" si="109"/>
        <v>Ace Hardware</v>
      </c>
      <c r="D712" s="10" t="s">
        <v>843</v>
      </c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0" t="s">
        <v>844</v>
      </c>
      <c r="B713" s="11">
        <v>999.0</v>
      </c>
      <c r="C713" s="12" t="str">
        <f t="shared" si="109"/>
        <v>Ace Hardware</v>
      </c>
      <c r="D713" s="10" t="s">
        <v>841</v>
      </c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0" t="s">
        <v>845</v>
      </c>
      <c r="B714" s="11">
        <v>899.0</v>
      </c>
      <c r="C714" s="12" t="str">
        <f t="shared" si="109"/>
        <v>Ace Hardware</v>
      </c>
      <c r="D714" s="10" t="s">
        <v>846</v>
      </c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0" t="s">
        <v>847</v>
      </c>
      <c r="B715" s="11">
        <v>999.0</v>
      </c>
      <c r="C715" s="12" t="str">
        <f t="shared" si="109"/>
        <v>Ace Hardware</v>
      </c>
      <c r="D715" s="10" t="s">
        <v>846</v>
      </c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0" t="s">
        <v>848</v>
      </c>
      <c r="B716" s="11">
        <v>1149.0</v>
      </c>
      <c r="C716" s="12" t="str">
        <f t="shared" si="109"/>
        <v>Ace Hardware</v>
      </c>
      <c r="D716" s="10" t="s">
        <v>846</v>
      </c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0" t="s">
        <v>849</v>
      </c>
      <c r="B717" s="11">
        <v>899.0</v>
      </c>
      <c r="C717" s="12" t="str">
        <f t="shared" si="109"/>
        <v>Ace Hardware</v>
      </c>
      <c r="D717" s="10" t="s">
        <v>266</v>
      </c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0" t="s">
        <v>850</v>
      </c>
      <c r="B718" s="11">
        <v>749.0</v>
      </c>
      <c r="C718" s="12" t="str">
        <f t="shared" si="109"/>
        <v>Ace Hardware</v>
      </c>
      <c r="D718" s="10" t="s">
        <v>851</v>
      </c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0" t="s">
        <v>852</v>
      </c>
      <c r="B719" s="11">
        <v>899.0</v>
      </c>
      <c r="C719" s="12" t="str">
        <f t="shared" si="109"/>
        <v>Ace Hardware</v>
      </c>
      <c r="D719" s="10" t="s">
        <v>266</v>
      </c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0" t="s">
        <v>853</v>
      </c>
      <c r="B720" s="11">
        <v>169.0</v>
      </c>
      <c r="C720" s="12" t="str">
        <f t="shared" si="109"/>
        <v>Ace Hardware</v>
      </c>
      <c r="D720" s="10" t="s">
        <v>266</v>
      </c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0" t="s">
        <v>854</v>
      </c>
      <c r="B721" s="11">
        <v>150.0</v>
      </c>
      <c r="C721" s="12" t="str">
        <f t="shared" si="109"/>
        <v>Ace Hardware</v>
      </c>
      <c r="D721" s="10" t="s">
        <v>377</v>
      </c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0" t="s">
        <v>855</v>
      </c>
      <c r="B722" s="11">
        <v>200.0</v>
      </c>
      <c r="C722" s="12" t="str">
        <f t="shared" si="109"/>
        <v>Ace Hardware</v>
      </c>
      <c r="D722" s="10" t="s">
        <v>377</v>
      </c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0" t="s">
        <v>856</v>
      </c>
      <c r="B723" s="11">
        <v>275.0</v>
      </c>
      <c r="C723" s="12" t="str">
        <f t="shared" si="109"/>
        <v>Ace Hardware</v>
      </c>
      <c r="D723" s="10" t="s">
        <v>857</v>
      </c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0" t="s">
        <v>858</v>
      </c>
      <c r="B724" s="11">
        <v>549.99</v>
      </c>
      <c r="C724" s="12" t="str">
        <f t="shared" si="109"/>
        <v>Ace Hardware</v>
      </c>
      <c r="D724" s="10" t="s">
        <v>266</v>
      </c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0"/>
      <c r="B725" s="7"/>
      <c r="C725" s="10"/>
      <c r="D725" s="10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8" t="s">
        <v>859</v>
      </c>
      <c r="B726" s="7"/>
      <c r="C726" s="10"/>
      <c r="D726" s="10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0" t="s">
        <v>860</v>
      </c>
      <c r="B727" s="11">
        <v>799.0</v>
      </c>
      <c r="C727" s="12" t="str">
        <f t="shared" ref="C727:C728" si="110">HYPERLINK("https://go.magik.ly/ml/sfil/","Home Depot")</f>
        <v>Home Depot</v>
      </c>
      <c r="D727" s="10" t="s">
        <v>861</v>
      </c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0" t="s">
        <v>862</v>
      </c>
      <c r="B728" s="11">
        <v>9.98</v>
      </c>
      <c r="C728" s="12" t="str">
        <f t="shared" si="110"/>
        <v>Home Depot</v>
      </c>
      <c r="D728" s="10" t="s">
        <v>251</v>
      </c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0" t="s">
        <v>863</v>
      </c>
      <c r="B729" s="11">
        <v>59.99</v>
      </c>
      <c r="C729" s="12" t="str">
        <f t="shared" ref="C729:C732" si="111">HYPERLINK("https://brandcycle.shop/9dmst","Ace Hardware")</f>
        <v>Ace Hardware</v>
      </c>
      <c r="D729" s="10" t="s">
        <v>266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0" t="s">
        <v>864</v>
      </c>
      <c r="B730" s="11">
        <v>99.99</v>
      </c>
      <c r="C730" s="12" t="str">
        <f t="shared" si="111"/>
        <v>Ace Hardware</v>
      </c>
      <c r="D730" s="10" t="s">
        <v>266</v>
      </c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0" t="s">
        <v>865</v>
      </c>
      <c r="B731" s="11">
        <v>129.99</v>
      </c>
      <c r="C731" s="12" t="str">
        <f t="shared" si="111"/>
        <v>Ace Hardware</v>
      </c>
      <c r="D731" s="10" t="s">
        <v>266</v>
      </c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0" t="s">
        <v>866</v>
      </c>
      <c r="B732" s="11">
        <v>129.99</v>
      </c>
      <c r="C732" s="12" t="str">
        <f t="shared" si="111"/>
        <v>Ace Hardware</v>
      </c>
      <c r="D732" s="10" t="s">
        <v>266</v>
      </c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0" t="s">
        <v>867</v>
      </c>
      <c r="B733" s="11">
        <v>9.98</v>
      </c>
      <c r="C733" s="12" t="str">
        <f t="shared" ref="C733:C734" si="112">HYPERLINK("https://go.magik.ly/ml/sfil/","Home Depot")</f>
        <v>Home Depot</v>
      </c>
      <c r="D733" s="10" t="s">
        <v>251</v>
      </c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0" t="s">
        <v>868</v>
      </c>
      <c r="B734" s="11">
        <v>49.98</v>
      </c>
      <c r="C734" s="12" t="str">
        <f t="shared" si="112"/>
        <v>Home Depot</v>
      </c>
      <c r="D734" s="10" t="s">
        <v>869</v>
      </c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0" t="s">
        <v>870</v>
      </c>
      <c r="B735" s="11">
        <v>99.99</v>
      </c>
      <c r="C735" s="12" t="str">
        <f t="shared" ref="C735:C736" si="113">HYPERLINK("https://brandcycle.shop/9dmst","Ace Hardware")</f>
        <v>Ace Hardware</v>
      </c>
      <c r="D735" s="10" t="s">
        <v>266</v>
      </c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0" t="s">
        <v>871</v>
      </c>
      <c r="B736" s="11">
        <v>99.99</v>
      </c>
      <c r="C736" s="12" t="str">
        <f t="shared" si="113"/>
        <v>Ace Hardware</v>
      </c>
      <c r="D736" s="10" t="s">
        <v>266</v>
      </c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0" t="s">
        <v>872</v>
      </c>
      <c r="B737" s="11">
        <v>199.0</v>
      </c>
      <c r="C737" s="12" t="str">
        <f t="shared" ref="C737:C739" si="114">HYPERLINK("https://go.magik.ly/ml/sfil/","Home Depot")</f>
        <v>Home Depot</v>
      </c>
      <c r="D737" s="10" t="s">
        <v>251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0" t="s">
        <v>873</v>
      </c>
      <c r="B738" s="11">
        <v>199.0</v>
      </c>
      <c r="C738" s="12" t="str">
        <f t="shared" si="114"/>
        <v>Home Depot</v>
      </c>
      <c r="D738" s="10" t="s">
        <v>251</v>
      </c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0" t="s">
        <v>874</v>
      </c>
      <c r="B739" s="11">
        <v>299.0</v>
      </c>
      <c r="C739" s="12" t="str">
        <f t="shared" si="114"/>
        <v>Home Depot</v>
      </c>
      <c r="D739" s="10" t="s">
        <v>251</v>
      </c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0" t="s">
        <v>875</v>
      </c>
      <c r="B740" s="11">
        <v>449.99</v>
      </c>
      <c r="C740" s="12" t="str">
        <f t="shared" ref="C740:C743" si="115">HYPERLINK("https://brandcycle.shop/9dmst","Ace Hardware")</f>
        <v>Ace Hardware</v>
      </c>
      <c r="D740" s="10" t="s">
        <v>266</v>
      </c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0" t="s">
        <v>876</v>
      </c>
      <c r="B741" s="11">
        <v>449.99</v>
      </c>
      <c r="C741" s="12" t="str">
        <f t="shared" si="115"/>
        <v>Ace Hardware</v>
      </c>
      <c r="D741" s="10" t="s">
        <v>266</v>
      </c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0" t="s">
        <v>877</v>
      </c>
      <c r="B742" s="11">
        <v>449.99</v>
      </c>
      <c r="C742" s="12" t="str">
        <f t="shared" si="115"/>
        <v>Ace Hardware</v>
      </c>
      <c r="D742" s="10" t="s">
        <v>266</v>
      </c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0" t="s">
        <v>878</v>
      </c>
      <c r="B743" s="11">
        <v>449.99</v>
      </c>
      <c r="C743" s="12" t="str">
        <f t="shared" si="115"/>
        <v>Ace Hardware</v>
      </c>
      <c r="D743" s="10" t="s">
        <v>266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0" t="s">
        <v>879</v>
      </c>
      <c r="B744" s="11">
        <v>5.98</v>
      </c>
      <c r="C744" s="12" t="str">
        <f t="shared" ref="C744:C745" si="116">HYPERLINK("https://go.magik.ly/ml/sfil/","Home Depot")</f>
        <v>Home Depot</v>
      </c>
      <c r="D744" s="10" t="s">
        <v>251</v>
      </c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0" t="s">
        <v>880</v>
      </c>
      <c r="B745" s="11">
        <v>449.0</v>
      </c>
      <c r="C745" s="12" t="str">
        <f t="shared" si="116"/>
        <v>Home Depot</v>
      </c>
      <c r="D745" s="10" t="s">
        <v>251</v>
      </c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0" t="s">
        <v>881</v>
      </c>
      <c r="B746" s="11" t="s">
        <v>882</v>
      </c>
      <c r="C746" s="12" t="str">
        <f>HYPERLINK("https://shopstyle.it/l/ch41b","Target")</f>
        <v>Target</v>
      </c>
      <c r="D746" s="10" t="s">
        <v>9</v>
      </c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0" t="s">
        <v>883</v>
      </c>
      <c r="B747" s="11">
        <v>59.99</v>
      </c>
      <c r="C747" s="12" t="str">
        <f t="shared" ref="C747:C754" si="117">HYPERLINK("https://brandcycle.shop/9dmst","Ace Hardware")</f>
        <v>Ace Hardware</v>
      </c>
      <c r="D747" s="10" t="s">
        <v>266</v>
      </c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0" t="s">
        <v>884</v>
      </c>
      <c r="B748" s="11">
        <v>59.99</v>
      </c>
      <c r="C748" s="12" t="str">
        <f t="shared" si="117"/>
        <v>Ace Hardware</v>
      </c>
      <c r="D748" s="10" t="s">
        <v>266</v>
      </c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0" t="s">
        <v>885</v>
      </c>
      <c r="B749" s="11">
        <v>59.99</v>
      </c>
      <c r="C749" s="12" t="str">
        <f t="shared" si="117"/>
        <v>Ace Hardware</v>
      </c>
      <c r="D749" s="10" t="s">
        <v>266</v>
      </c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0" t="s">
        <v>886</v>
      </c>
      <c r="B750" s="11">
        <v>59.99</v>
      </c>
      <c r="C750" s="12" t="str">
        <f t="shared" si="117"/>
        <v>Ace Hardware</v>
      </c>
      <c r="D750" s="10" t="s">
        <v>266</v>
      </c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0" t="s">
        <v>887</v>
      </c>
      <c r="B751" s="11">
        <v>59.99</v>
      </c>
      <c r="C751" s="12" t="str">
        <f t="shared" si="117"/>
        <v>Ace Hardware</v>
      </c>
      <c r="D751" s="10" t="s">
        <v>266</v>
      </c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0" t="s">
        <v>888</v>
      </c>
      <c r="B752" s="11">
        <v>59.99</v>
      </c>
      <c r="C752" s="12" t="str">
        <f t="shared" si="117"/>
        <v>Ace Hardware</v>
      </c>
      <c r="D752" s="10" t="s">
        <v>266</v>
      </c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0" t="s">
        <v>889</v>
      </c>
      <c r="B753" s="11">
        <v>59.99</v>
      </c>
      <c r="C753" s="12" t="str">
        <f t="shared" si="117"/>
        <v>Ace Hardware</v>
      </c>
      <c r="D753" s="10" t="s">
        <v>266</v>
      </c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0" t="s">
        <v>890</v>
      </c>
      <c r="B754" s="11">
        <v>59.99</v>
      </c>
      <c r="C754" s="12" t="str">
        <f t="shared" si="117"/>
        <v>Ace Hardware</v>
      </c>
      <c r="D754" s="10" t="s">
        <v>266</v>
      </c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0" t="s">
        <v>891</v>
      </c>
      <c r="B755" s="11" t="s">
        <v>559</v>
      </c>
      <c r="C755" s="12" t="str">
        <f>HYPERLINK("https://shopstyle.it/l/ch41Y","Kohl's")</f>
        <v>Kohl's</v>
      </c>
      <c r="D755" s="14" t="s">
        <v>560</v>
      </c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0" t="s">
        <v>892</v>
      </c>
      <c r="B756" s="11">
        <v>9.99</v>
      </c>
      <c r="C756" s="12" t="str">
        <f t="shared" ref="C756:C757" si="118">HYPERLINK("https://brandcycle.shop/9dmst","Ace Hardware")</f>
        <v>Ace Hardware</v>
      </c>
      <c r="D756" s="10" t="s">
        <v>266</v>
      </c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0" t="s">
        <v>893</v>
      </c>
      <c r="B757" s="11">
        <v>24.99</v>
      </c>
      <c r="C757" s="12" t="str">
        <f t="shared" si="118"/>
        <v>Ace Hardware</v>
      </c>
      <c r="D757" s="10" t="s">
        <v>266</v>
      </c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0" t="s">
        <v>894</v>
      </c>
      <c r="B758" s="11">
        <v>69.99</v>
      </c>
      <c r="C758" s="12" t="str">
        <f>HYPERLINK("https://go.magik.ly/ml/rtk9/","Walmart")</f>
        <v>Walmart</v>
      </c>
      <c r="D758" s="10" t="s">
        <v>200</v>
      </c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0" t="s">
        <v>895</v>
      </c>
      <c r="B759" s="11" t="s">
        <v>665</v>
      </c>
      <c r="C759" s="12" t="str">
        <f>HYPERLINK("https://costco.com","Costco")</f>
        <v>Costco</v>
      </c>
      <c r="D759" s="10" t="s">
        <v>268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0" t="s">
        <v>896</v>
      </c>
      <c r="B760" s="11" t="s">
        <v>882</v>
      </c>
      <c r="C760" s="12" t="str">
        <f>HYPERLINK("https://shopstyle.it/l/ch41b","Target")</f>
        <v>Target</v>
      </c>
      <c r="D760" s="10" t="s">
        <v>9</v>
      </c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0" t="s">
        <v>897</v>
      </c>
      <c r="B761" s="11" t="s">
        <v>559</v>
      </c>
      <c r="C761" s="12" t="str">
        <f>HYPERLINK("https://shopstyle.it/l/ch41Y","Kohl's")</f>
        <v>Kohl's</v>
      </c>
      <c r="D761" s="14" t="s">
        <v>560</v>
      </c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0" t="s">
        <v>898</v>
      </c>
      <c r="B762" s="11" t="s">
        <v>882</v>
      </c>
      <c r="C762" s="12" t="str">
        <f>HYPERLINK("https://shopstyle.it/l/ch41b","Target")</f>
        <v>Target</v>
      </c>
      <c r="D762" s="10" t="s">
        <v>9</v>
      </c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0" t="s">
        <v>899</v>
      </c>
      <c r="B763" s="11">
        <v>4.84</v>
      </c>
      <c r="C763" s="12" t="str">
        <f t="shared" ref="C763:C781" si="119">HYPERLINK("https://go.magik.ly/ml/sfil/","Home Depot")</f>
        <v>Home Depot</v>
      </c>
      <c r="D763" s="10" t="s">
        <v>251</v>
      </c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0" t="s">
        <v>900</v>
      </c>
      <c r="B764" s="11">
        <v>19.98</v>
      </c>
      <c r="C764" s="12" t="str">
        <f t="shared" si="119"/>
        <v>Home Depot</v>
      </c>
      <c r="D764" s="10" t="s">
        <v>251</v>
      </c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0" t="s">
        <v>901</v>
      </c>
      <c r="B765" s="11">
        <v>29.98</v>
      </c>
      <c r="C765" s="12" t="str">
        <f t="shared" si="119"/>
        <v>Home Depot</v>
      </c>
      <c r="D765" s="10" t="s">
        <v>251</v>
      </c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0" t="s">
        <v>902</v>
      </c>
      <c r="B766" s="11">
        <v>29.98</v>
      </c>
      <c r="C766" s="12" t="str">
        <f t="shared" si="119"/>
        <v>Home Depot</v>
      </c>
      <c r="D766" s="10" t="s">
        <v>251</v>
      </c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0" t="s">
        <v>903</v>
      </c>
      <c r="B767" s="11">
        <v>29.98</v>
      </c>
      <c r="C767" s="12" t="str">
        <f t="shared" si="119"/>
        <v>Home Depot</v>
      </c>
      <c r="D767" s="10" t="s">
        <v>251</v>
      </c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0" t="s">
        <v>904</v>
      </c>
      <c r="B768" s="11">
        <v>24.98</v>
      </c>
      <c r="C768" s="12" t="str">
        <f t="shared" si="119"/>
        <v>Home Depot</v>
      </c>
      <c r="D768" s="10" t="s">
        <v>905</v>
      </c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0" t="s">
        <v>906</v>
      </c>
      <c r="B769" s="11">
        <v>14.98</v>
      </c>
      <c r="C769" s="12" t="str">
        <f t="shared" si="119"/>
        <v>Home Depot</v>
      </c>
      <c r="D769" s="10" t="s">
        <v>251</v>
      </c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0" t="s">
        <v>907</v>
      </c>
      <c r="B770" s="11">
        <v>159.0</v>
      </c>
      <c r="C770" s="12" t="str">
        <f t="shared" si="119"/>
        <v>Home Depot</v>
      </c>
      <c r="D770" s="10" t="s">
        <v>251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0" t="s">
        <v>908</v>
      </c>
      <c r="B771" s="11">
        <v>5.98</v>
      </c>
      <c r="C771" s="12" t="str">
        <f t="shared" si="119"/>
        <v>Home Depot</v>
      </c>
      <c r="D771" s="10" t="s">
        <v>251</v>
      </c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0" t="s">
        <v>909</v>
      </c>
      <c r="B772" s="11">
        <v>99.0</v>
      </c>
      <c r="C772" s="12" t="str">
        <f t="shared" si="119"/>
        <v>Home Depot</v>
      </c>
      <c r="D772" s="10" t="s">
        <v>251</v>
      </c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0" t="s">
        <v>910</v>
      </c>
      <c r="B773" s="11">
        <v>7.84</v>
      </c>
      <c r="C773" s="12" t="str">
        <f t="shared" si="119"/>
        <v>Home Depot</v>
      </c>
      <c r="D773" s="10" t="s">
        <v>251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0" t="s">
        <v>911</v>
      </c>
      <c r="B774" s="11">
        <v>19.98</v>
      </c>
      <c r="C774" s="12" t="str">
        <f t="shared" si="119"/>
        <v>Home Depot</v>
      </c>
      <c r="D774" s="10" t="s">
        <v>344</v>
      </c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0" t="s">
        <v>912</v>
      </c>
      <c r="B775" s="11">
        <v>99.0</v>
      </c>
      <c r="C775" s="12" t="str">
        <f t="shared" si="119"/>
        <v>Home Depot</v>
      </c>
      <c r="D775" s="10" t="s">
        <v>344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0" t="s">
        <v>913</v>
      </c>
      <c r="B776" s="11">
        <v>59.98</v>
      </c>
      <c r="C776" s="12" t="str">
        <f t="shared" si="119"/>
        <v>Home Depot</v>
      </c>
      <c r="D776" s="10" t="s">
        <v>251</v>
      </c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0" t="s">
        <v>914</v>
      </c>
      <c r="B777" s="11">
        <v>79.98</v>
      </c>
      <c r="C777" s="12" t="str">
        <f t="shared" si="119"/>
        <v>Home Depot</v>
      </c>
      <c r="D777" s="10" t="s">
        <v>251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0" t="s">
        <v>915</v>
      </c>
      <c r="B778" s="11">
        <v>49.98</v>
      </c>
      <c r="C778" s="12" t="str">
        <f t="shared" si="119"/>
        <v>Home Depot</v>
      </c>
      <c r="D778" s="10" t="s">
        <v>251</v>
      </c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0" t="s">
        <v>916</v>
      </c>
      <c r="B779" s="11">
        <v>7.98</v>
      </c>
      <c r="C779" s="12" t="str">
        <f t="shared" si="119"/>
        <v>Home Depot</v>
      </c>
      <c r="D779" s="10" t="s">
        <v>251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0" t="s">
        <v>917</v>
      </c>
      <c r="B780" s="11">
        <v>39.98</v>
      </c>
      <c r="C780" s="12" t="str">
        <f t="shared" si="119"/>
        <v>Home Depot</v>
      </c>
      <c r="D780" s="10" t="s">
        <v>251</v>
      </c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0" t="s">
        <v>918</v>
      </c>
      <c r="B781" s="11">
        <v>39.98</v>
      </c>
      <c r="C781" s="12" t="str">
        <f t="shared" si="119"/>
        <v>Home Depot</v>
      </c>
      <c r="D781" s="10" t="s">
        <v>251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0" t="s">
        <v>919</v>
      </c>
      <c r="B782" s="11">
        <v>99.99</v>
      </c>
      <c r="C782" s="12" t="str">
        <f t="shared" ref="C782:C783" si="120">HYPERLINK("https://brandcycle.shop/9dmst","Ace Hardware")</f>
        <v>Ace Hardware</v>
      </c>
      <c r="D782" s="10" t="s">
        <v>266</v>
      </c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0" t="s">
        <v>920</v>
      </c>
      <c r="B783" s="11">
        <v>29.99</v>
      </c>
      <c r="C783" s="12" t="str">
        <f t="shared" si="120"/>
        <v>Ace Hardware</v>
      </c>
      <c r="D783" s="10" t="s">
        <v>266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0" t="s">
        <v>921</v>
      </c>
      <c r="B784" s="11">
        <v>7.99</v>
      </c>
      <c r="C784" s="12" t="str">
        <f>HYPERLINK("https://costco.com","Costco")</f>
        <v>Costco</v>
      </c>
      <c r="D784" s="10" t="s">
        <v>922</v>
      </c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0" t="s">
        <v>923</v>
      </c>
      <c r="B785" s="11">
        <v>49.99</v>
      </c>
      <c r="C785" s="12" t="str">
        <f t="shared" ref="C785:C787" si="121">HYPERLINK("https://brandcycle.shop/9dmst","Ace Hardware")</f>
        <v>Ace Hardware</v>
      </c>
      <c r="D785" s="10" t="s">
        <v>266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0" t="s">
        <v>924</v>
      </c>
      <c r="B786" s="11">
        <v>17.99</v>
      </c>
      <c r="C786" s="12" t="str">
        <f t="shared" si="121"/>
        <v>Ace Hardware</v>
      </c>
      <c r="D786" s="10" t="s">
        <v>925</v>
      </c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0" t="s">
        <v>926</v>
      </c>
      <c r="B787" s="11">
        <v>119.99</v>
      </c>
      <c r="C787" s="12" t="str">
        <f t="shared" si="121"/>
        <v>Ace Hardware</v>
      </c>
      <c r="D787" s="10" t="s">
        <v>266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0" t="s">
        <v>927</v>
      </c>
      <c r="B788" s="11">
        <v>44.98</v>
      </c>
      <c r="C788" s="12" t="str">
        <f t="shared" ref="C788:C790" si="122">HYPERLINK("https://go.magik.ly/ml/sfil/","Home Depot")</f>
        <v>Home Depot</v>
      </c>
      <c r="D788" s="10" t="s">
        <v>370</v>
      </c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0" t="s">
        <v>928</v>
      </c>
      <c r="B789" s="11">
        <v>44.98</v>
      </c>
      <c r="C789" s="12" t="str">
        <f t="shared" si="122"/>
        <v>Home Depot</v>
      </c>
      <c r="D789" s="10" t="s">
        <v>370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0" t="s">
        <v>929</v>
      </c>
      <c r="B790" s="11">
        <v>44.98</v>
      </c>
      <c r="C790" s="12" t="str">
        <f t="shared" si="122"/>
        <v>Home Depot</v>
      </c>
      <c r="D790" s="10" t="s">
        <v>370</v>
      </c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0" t="s">
        <v>930</v>
      </c>
      <c r="B791" s="11">
        <v>39.99</v>
      </c>
      <c r="C791" s="12" t="str">
        <f t="shared" ref="C791:C793" si="123">HYPERLINK("https://brandcycle.shop/9dmst","Ace Hardware")</f>
        <v>Ace Hardware</v>
      </c>
      <c r="D791" s="10" t="s">
        <v>266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0" t="s">
        <v>931</v>
      </c>
      <c r="B792" s="11">
        <v>39.99</v>
      </c>
      <c r="C792" s="12" t="str">
        <f t="shared" si="123"/>
        <v>Ace Hardware</v>
      </c>
      <c r="D792" s="10" t="s">
        <v>266</v>
      </c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0" t="s">
        <v>932</v>
      </c>
      <c r="B793" s="11">
        <v>99.99</v>
      </c>
      <c r="C793" s="12" t="str">
        <f t="shared" si="123"/>
        <v>Ace Hardware</v>
      </c>
      <c r="D793" s="10" t="s">
        <v>266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0" t="s">
        <v>933</v>
      </c>
      <c r="B794" s="11" t="s">
        <v>205</v>
      </c>
      <c r="C794" s="12" t="str">
        <f t="shared" ref="C794:C798" si="124">HYPERLINK("https://shopstyle.it/l/ch41b","Target")</f>
        <v>Target</v>
      </c>
      <c r="D794" s="10" t="s">
        <v>9</v>
      </c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0" t="s">
        <v>934</v>
      </c>
      <c r="B795" s="11" t="s">
        <v>205</v>
      </c>
      <c r="C795" s="12" t="str">
        <f t="shared" si="124"/>
        <v>Target</v>
      </c>
      <c r="D795" s="10" t="s">
        <v>9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0" t="s">
        <v>935</v>
      </c>
      <c r="B796" s="11" t="s">
        <v>882</v>
      </c>
      <c r="C796" s="12" t="str">
        <f t="shared" si="124"/>
        <v>Target</v>
      </c>
      <c r="D796" s="10" t="s">
        <v>9</v>
      </c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0" t="s">
        <v>936</v>
      </c>
      <c r="B797" s="11" t="s">
        <v>882</v>
      </c>
      <c r="C797" s="12" t="str">
        <f t="shared" si="124"/>
        <v>Target</v>
      </c>
      <c r="D797" s="10" t="s">
        <v>9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0" t="s">
        <v>937</v>
      </c>
      <c r="B798" s="11" t="s">
        <v>882</v>
      </c>
      <c r="C798" s="12" t="str">
        <f t="shared" si="124"/>
        <v>Target</v>
      </c>
      <c r="D798" s="10" t="s">
        <v>9</v>
      </c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0"/>
      <c r="B799" s="7"/>
      <c r="C799" s="10"/>
      <c r="D799" s="10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8" t="s">
        <v>938</v>
      </c>
      <c r="B800" s="7"/>
      <c r="C800" s="10"/>
      <c r="D800" s="10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0" t="s">
        <v>939</v>
      </c>
      <c r="B801" s="11">
        <v>699.99</v>
      </c>
      <c r="C801" s="12" t="str">
        <f t="shared" ref="C801:C816" si="125">HYPERLINK("https://costco.com","Costco")</f>
        <v>Costco</v>
      </c>
      <c r="D801" s="10" t="s">
        <v>129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0" t="s">
        <v>940</v>
      </c>
      <c r="B802" s="11">
        <v>3999.99</v>
      </c>
      <c r="C802" s="12" t="str">
        <f t="shared" si="125"/>
        <v>Costco</v>
      </c>
      <c r="D802" s="10" t="s">
        <v>66</v>
      </c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0" t="s">
        <v>941</v>
      </c>
      <c r="B803" s="11">
        <v>999.99</v>
      </c>
      <c r="C803" s="12" t="str">
        <f t="shared" si="125"/>
        <v>Costco</v>
      </c>
      <c r="D803" s="10" t="s">
        <v>155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0" t="s">
        <v>942</v>
      </c>
      <c r="B804" s="11">
        <v>399.99</v>
      </c>
      <c r="C804" s="12" t="str">
        <f t="shared" si="125"/>
        <v>Costco</v>
      </c>
      <c r="D804" s="10" t="s">
        <v>66</v>
      </c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0" t="s">
        <v>943</v>
      </c>
      <c r="B805" s="11">
        <v>999.99</v>
      </c>
      <c r="C805" s="12" t="str">
        <f t="shared" si="125"/>
        <v>Costco</v>
      </c>
      <c r="D805" s="10" t="s">
        <v>68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0" t="s">
        <v>944</v>
      </c>
      <c r="B806" s="11">
        <v>799.99</v>
      </c>
      <c r="C806" s="12" t="str">
        <f t="shared" si="125"/>
        <v>Costco</v>
      </c>
      <c r="D806" s="10" t="s">
        <v>268</v>
      </c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0" t="s">
        <v>945</v>
      </c>
      <c r="B807" s="11">
        <v>1999.99</v>
      </c>
      <c r="C807" s="12" t="str">
        <f t="shared" si="125"/>
        <v>Costco</v>
      </c>
      <c r="D807" s="10" t="s">
        <v>155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0" t="s">
        <v>946</v>
      </c>
      <c r="B808" s="11">
        <v>899.99</v>
      </c>
      <c r="C808" s="12" t="str">
        <f t="shared" si="125"/>
        <v>Costco</v>
      </c>
      <c r="D808" s="10" t="s">
        <v>61</v>
      </c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0" t="s">
        <v>947</v>
      </c>
      <c r="B809" s="11">
        <v>499.99</v>
      </c>
      <c r="C809" s="12" t="str">
        <f t="shared" si="125"/>
        <v>Costco</v>
      </c>
      <c r="D809" s="10" t="s">
        <v>61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0" t="s">
        <v>948</v>
      </c>
      <c r="B810" s="11">
        <v>599.99</v>
      </c>
      <c r="C810" s="12" t="str">
        <f t="shared" si="125"/>
        <v>Costco</v>
      </c>
      <c r="D810" s="10" t="s">
        <v>68</v>
      </c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0" t="s">
        <v>949</v>
      </c>
      <c r="B811" s="11">
        <v>549.99</v>
      </c>
      <c r="C811" s="12" t="str">
        <f t="shared" si="125"/>
        <v>Costco</v>
      </c>
      <c r="D811" s="10" t="s">
        <v>68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0" t="s">
        <v>950</v>
      </c>
      <c r="B812" s="11">
        <v>239.99</v>
      </c>
      <c r="C812" s="12" t="str">
        <f t="shared" si="125"/>
        <v>Costco</v>
      </c>
      <c r="D812" s="10" t="s">
        <v>68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0" t="s">
        <v>951</v>
      </c>
      <c r="B813" s="11">
        <v>499.99</v>
      </c>
      <c r="C813" s="12" t="str">
        <f t="shared" si="125"/>
        <v>Costco</v>
      </c>
      <c r="D813" s="10" t="s">
        <v>268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0" t="s">
        <v>952</v>
      </c>
      <c r="B814" s="11">
        <v>5499.99</v>
      </c>
      <c r="C814" s="12" t="str">
        <f t="shared" si="125"/>
        <v>Costco</v>
      </c>
      <c r="D814" s="10" t="s">
        <v>70</v>
      </c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0" t="s">
        <v>953</v>
      </c>
      <c r="B815" s="11">
        <v>799.99</v>
      </c>
      <c r="C815" s="12" t="str">
        <f t="shared" si="125"/>
        <v>Costco</v>
      </c>
      <c r="D815" s="10" t="s">
        <v>954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0" t="s">
        <v>955</v>
      </c>
      <c r="B816" s="11">
        <v>1899.99</v>
      </c>
      <c r="C816" s="12" t="str">
        <f t="shared" si="125"/>
        <v>Costco</v>
      </c>
      <c r="D816" s="10" t="s">
        <v>954</v>
      </c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0" t="s">
        <v>956</v>
      </c>
      <c r="B817" s="11">
        <v>12.74</v>
      </c>
      <c r="C817" s="12" t="str">
        <f t="shared" ref="C817:C818" si="126">HYPERLINK("https://shopstyle.it/l/ch41Y","Kohl's")</f>
        <v>Kohl's</v>
      </c>
      <c r="D817" s="14" t="s">
        <v>555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0" t="s">
        <v>957</v>
      </c>
      <c r="B818" s="11" t="s">
        <v>766</v>
      </c>
      <c r="C818" s="12" t="str">
        <f t="shared" si="126"/>
        <v>Kohl's</v>
      </c>
      <c r="D818" s="14" t="s">
        <v>560</v>
      </c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0" t="s">
        <v>958</v>
      </c>
      <c r="B819" s="11">
        <v>4199.99</v>
      </c>
      <c r="C819" s="12" t="str">
        <f t="shared" ref="C819:C822" si="127">HYPERLINK("https://costco.com","Costco")</f>
        <v>Costco</v>
      </c>
      <c r="D819" s="10" t="s">
        <v>954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0" t="s">
        <v>959</v>
      </c>
      <c r="B820" s="11">
        <v>1499.99</v>
      </c>
      <c r="C820" s="12" t="str">
        <f t="shared" si="127"/>
        <v>Costco</v>
      </c>
      <c r="D820" s="10" t="s">
        <v>61</v>
      </c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0" t="s">
        <v>960</v>
      </c>
      <c r="B821" s="11">
        <v>6999.99</v>
      </c>
      <c r="C821" s="12" t="str">
        <f t="shared" si="127"/>
        <v>Costco</v>
      </c>
      <c r="D821" s="10" t="s">
        <v>954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0" t="s">
        <v>961</v>
      </c>
      <c r="B822" s="11">
        <v>4499.99</v>
      </c>
      <c r="C822" s="12" t="str">
        <f t="shared" si="127"/>
        <v>Costco</v>
      </c>
      <c r="D822" s="10" t="s">
        <v>70</v>
      </c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0" t="s">
        <v>962</v>
      </c>
      <c r="B823" s="11" t="s">
        <v>766</v>
      </c>
      <c r="C823" s="12" t="str">
        <f>HYPERLINK("https://shopstyle.it/l/ch41Y","Kohl's")</f>
        <v>Kohl's</v>
      </c>
      <c r="D823" s="14" t="s">
        <v>560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0"/>
      <c r="B824" s="7"/>
      <c r="C824" s="10"/>
      <c r="D824" s="10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8" t="s">
        <v>963</v>
      </c>
      <c r="B825" s="7"/>
      <c r="C825" s="10"/>
      <c r="D825" s="10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9" t="s">
        <v>964</v>
      </c>
      <c r="B826" s="7"/>
      <c r="C826" s="10"/>
      <c r="D826" s="10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0" t="s">
        <v>965</v>
      </c>
      <c r="B827" s="11">
        <v>79.96</v>
      </c>
      <c r="C827" s="12" t="str">
        <f>HYPERLINK("https://go.magik.ly/ml/rtk9/","Walmart")</f>
        <v>Walmart</v>
      </c>
      <c r="D827" s="10" t="s">
        <v>200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0"/>
      <c r="B828" s="7"/>
      <c r="C828" s="10"/>
      <c r="D828" s="10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9" t="s">
        <v>966</v>
      </c>
      <c r="B829" s="7"/>
      <c r="C829" s="10"/>
      <c r="D829" s="10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0" t="s">
        <v>967</v>
      </c>
      <c r="B830" s="11" t="s">
        <v>54</v>
      </c>
      <c r="C830" s="12" t="str">
        <f>HYPERLINK("https://shopstyle.it/l/ch41Y","Kohl's")</f>
        <v>Kohl's</v>
      </c>
      <c r="D830" s="14" t="s">
        <v>55</v>
      </c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0" t="s">
        <v>968</v>
      </c>
      <c r="B831" s="11">
        <v>499.99</v>
      </c>
      <c r="C831" s="12" t="str">
        <f t="shared" ref="C831:C832" si="128">HYPERLINK("https://costco.com","Costco")</f>
        <v>Costco</v>
      </c>
      <c r="D831" s="10" t="s">
        <v>66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0" t="s">
        <v>969</v>
      </c>
      <c r="B832" s="11">
        <v>359.99</v>
      </c>
      <c r="C832" s="12" t="str">
        <f t="shared" si="128"/>
        <v>Costco</v>
      </c>
      <c r="D832" s="10" t="s">
        <v>61</v>
      </c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0" t="s">
        <v>970</v>
      </c>
      <c r="B833" s="11">
        <v>48.3</v>
      </c>
      <c r="C833" s="12" t="str">
        <f>HYPERLINK("https://go.magik.ly/ml/rtk9/","Walmart")</f>
        <v>Walmart</v>
      </c>
      <c r="D833" s="10" t="s">
        <v>200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0"/>
      <c r="B834" s="7"/>
      <c r="C834" s="10"/>
      <c r="D834" s="10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9" t="s">
        <v>971</v>
      </c>
      <c r="B835" s="7"/>
      <c r="C835" s="10"/>
      <c r="D835" s="10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0" t="s">
        <v>972</v>
      </c>
      <c r="B836" s="11" t="s">
        <v>54</v>
      </c>
      <c r="C836" s="12" t="str">
        <f t="shared" ref="C836:C839" si="129">HYPERLINK("https://shopstyle.it/l/ch48w","Ulta")</f>
        <v>Ulta</v>
      </c>
      <c r="D836" s="10" t="s">
        <v>973</v>
      </c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0" t="s">
        <v>974</v>
      </c>
      <c r="B837" s="11" t="s">
        <v>975</v>
      </c>
      <c r="C837" s="12" t="str">
        <f t="shared" si="129"/>
        <v>Ulta</v>
      </c>
      <c r="D837" s="10" t="s">
        <v>976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0" t="s">
        <v>977</v>
      </c>
      <c r="B838" s="11" t="s">
        <v>205</v>
      </c>
      <c r="C838" s="12" t="str">
        <f t="shared" si="129"/>
        <v>Ulta</v>
      </c>
      <c r="D838" s="10" t="s">
        <v>973</v>
      </c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0" t="s">
        <v>977</v>
      </c>
      <c r="B839" s="11" t="s">
        <v>205</v>
      </c>
      <c r="C839" s="12" t="str">
        <f t="shared" si="129"/>
        <v>Ulta</v>
      </c>
      <c r="D839" s="10" t="s">
        <v>978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0" t="s">
        <v>979</v>
      </c>
      <c r="B840" s="11" t="s">
        <v>54</v>
      </c>
      <c r="C840" s="12" t="str">
        <f t="shared" ref="C840:C841" si="130">HYPERLINK("https://shopstyle.it/l/ch41Y","Kohl's")</f>
        <v>Kohl's</v>
      </c>
      <c r="D840" s="14" t="s">
        <v>55</v>
      </c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0" t="s">
        <v>967</v>
      </c>
      <c r="B841" s="11" t="s">
        <v>54</v>
      </c>
      <c r="C841" s="12" t="str">
        <f t="shared" si="130"/>
        <v>Kohl's</v>
      </c>
      <c r="D841" s="14" t="s">
        <v>55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0" t="s">
        <v>980</v>
      </c>
      <c r="B842" s="11" t="s">
        <v>54</v>
      </c>
      <c r="C842" s="12" t="str">
        <f t="shared" ref="C842:C846" si="131">HYPERLINK("https://shopstyle.it/l/ch48w","Ulta")</f>
        <v>Ulta</v>
      </c>
      <c r="D842" s="10" t="s">
        <v>973</v>
      </c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0" t="s">
        <v>981</v>
      </c>
      <c r="B843" s="11" t="s">
        <v>54</v>
      </c>
      <c r="C843" s="12" t="str">
        <f t="shared" si="131"/>
        <v>Ulta</v>
      </c>
      <c r="D843" s="10" t="s">
        <v>973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0" t="s">
        <v>982</v>
      </c>
      <c r="B844" s="11" t="s">
        <v>205</v>
      </c>
      <c r="C844" s="12" t="str">
        <f t="shared" si="131"/>
        <v>Ulta</v>
      </c>
      <c r="D844" s="10" t="s">
        <v>983</v>
      </c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0" t="s">
        <v>984</v>
      </c>
      <c r="B845" s="11" t="s">
        <v>54</v>
      </c>
      <c r="C845" s="12" t="str">
        <f t="shared" si="131"/>
        <v>Ulta</v>
      </c>
      <c r="D845" s="10" t="s">
        <v>973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0" t="s">
        <v>985</v>
      </c>
      <c r="B846" s="11" t="s">
        <v>214</v>
      </c>
      <c r="C846" s="12" t="str">
        <f t="shared" si="131"/>
        <v>Ulta</v>
      </c>
      <c r="D846" s="10" t="s">
        <v>983</v>
      </c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0" t="s">
        <v>986</v>
      </c>
      <c r="B847" s="11">
        <v>24.99</v>
      </c>
      <c r="C847" s="12" t="str">
        <f>HYPERLINK("https://costco.com","Costco")</f>
        <v>Costco</v>
      </c>
      <c r="D847" s="10" t="s">
        <v>129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0" t="s">
        <v>987</v>
      </c>
      <c r="B848" s="11" t="s">
        <v>54</v>
      </c>
      <c r="C848" s="12" t="str">
        <f t="shared" ref="C848:C885" si="132">HYPERLINK("https://shopstyle.it/l/ch48w","Ulta")</f>
        <v>Ulta</v>
      </c>
      <c r="D848" s="10" t="s">
        <v>973</v>
      </c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0" t="s">
        <v>988</v>
      </c>
      <c r="B849" s="11" t="s">
        <v>214</v>
      </c>
      <c r="C849" s="12" t="str">
        <f t="shared" si="132"/>
        <v>Ulta</v>
      </c>
      <c r="D849" s="10" t="s">
        <v>983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0" t="s">
        <v>989</v>
      </c>
      <c r="B850" s="11" t="s">
        <v>54</v>
      </c>
      <c r="C850" s="12" t="str">
        <f t="shared" si="132"/>
        <v>Ulta</v>
      </c>
      <c r="D850" s="10" t="s">
        <v>973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0" t="s">
        <v>990</v>
      </c>
      <c r="B851" s="11">
        <v>25.0</v>
      </c>
      <c r="C851" s="12" t="str">
        <f t="shared" si="132"/>
        <v>Ulta</v>
      </c>
      <c r="D851" s="10" t="s">
        <v>978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0" t="s">
        <v>991</v>
      </c>
      <c r="B852" s="11" t="s">
        <v>54</v>
      </c>
      <c r="C852" s="12" t="str">
        <f t="shared" si="132"/>
        <v>Ulta</v>
      </c>
      <c r="D852" s="10" t="s">
        <v>978</v>
      </c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0" t="s">
        <v>992</v>
      </c>
      <c r="B853" s="11" t="s">
        <v>993</v>
      </c>
      <c r="C853" s="12" t="str">
        <f t="shared" si="132"/>
        <v>Ulta</v>
      </c>
      <c r="D853" s="10" t="s">
        <v>983</v>
      </c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0" t="s">
        <v>994</v>
      </c>
      <c r="B854" s="11" t="s">
        <v>205</v>
      </c>
      <c r="C854" s="12" t="str">
        <f t="shared" si="132"/>
        <v>Ulta</v>
      </c>
      <c r="D854" s="10" t="s">
        <v>983</v>
      </c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0" t="s">
        <v>995</v>
      </c>
      <c r="B855" s="11" t="s">
        <v>993</v>
      </c>
      <c r="C855" s="12" t="str">
        <f t="shared" si="132"/>
        <v>Ulta</v>
      </c>
      <c r="D855" s="10" t="s">
        <v>983</v>
      </c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0" t="s">
        <v>996</v>
      </c>
      <c r="B856" s="11" t="s">
        <v>54</v>
      </c>
      <c r="C856" s="12" t="str">
        <f t="shared" si="132"/>
        <v>Ulta</v>
      </c>
      <c r="D856" s="10" t="s">
        <v>973</v>
      </c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0" t="s">
        <v>997</v>
      </c>
      <c r="B857" s="11" t="s">
        <v>998</v>
      </c>
      <c r="C857" s="12" t="str">
        <f t="shared" si="132"/>
        <v>Ulta</v>
      </c>
      <c r="D857" s="10" t="s">
        <v>983</v>
      </c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0" t="s">
        <v>999</v>
      </c>
      <c r="B858" s="11" t="s">
        <v>205</v>
      </c>
      <c r="C858" s="12" t="str">
        <f t="shared" si="132"/>
        <v>Ulta</v>
      </c>
      <c r="D858" s="10" t="s">
        <v>978</v>
      </c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0" t="s">
        <v>1000</v>
      </c>
      <c r="B859" s="11" t="s">
        <v>205</v>
      </c>
      <c r="C859" s="12" t="str">
        <f t="shared" si="132"/>
        <v>Ulta</v>
      </c>
      <c r="D859" s="10" t="s">
        <v>973</v>
      </c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0" t="s">
        <v>1001</v>
      </c>
      <c r="B860" s="11" t="s">
        <v>54</v>
      </c>
      <c r="C860" s="12" t="str">
        <f t="shared" si="132"/>
        <v>Ulta</v>
      </c>
      <c r="D860" s="10" t="s">
        <v>973</v>
      </c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0" t="s">
        <v>1002</v>
      </c>
      <c r="B861" s="11">
        <v>25.0</v>
      </c>
      <c r="C861" s="12" t="str">
        <f t="shared" si="132"/>
        <v>Ulta</v>
      </c>
      <c r="D861" s="10" t="s">
        <v>973</v>
      </c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0" t="s">
        <v>1003</v>
      </c>
      <c r="B862" s="11" t="s">
        <v>214</v>
      </c>
      <c r="C862" s="12" t="str">
        <f t="shared" si="132"/>
        <v>Ulta</v>
      </c>
      <c r="D862" s="10" t="s">
        <v>973</v>
      </c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0" t="s">
        <v>1003</v>
      </c>
      <c r="B863" s="11" t="s">
        <v>214</v>
      </c>
      <c r="C863" s="12" t="str">
        <f t="shared" si="132"/>
        <v>Ulta</v>
      </c>
      <c r="D863" s="10" t="s">
        <v>978</v>
      </c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0" t="s">
        <v>1004</v>
      </c>
      <c r="B864" s="11" t="s">
        <v>205</v>
      </c>
      <c r="C864" s="12" t="str">
        <f t="shared" si="132"/>
        <v>Ulta</v>
      </c>
      <c r="D864" s="10" t="s">
        <v>973</v>
      </c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0" t="s">
        <v>1004</v>
      </c>
      <c r="B865" s="11" t="s">
        <v>205</v>
      </c>
      <c r="C865" s="12" t="str">
        <f t="shared" si="132"/>
        <v>Ulta</v>
      </c>
      <c r="D865" s="10" t="s">
        <v>978</v>
      </c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0" t="s">
        <v>1005</v>
      </c>
      <c r="B866" s="11" t="s">
        <v>205</v>
      </c>
      <c r="C866" s="12" t="str">
        <f t="shared" si="132"/>
        <v>Ulta</v>
      </c>
      <c r="D866" s="10" t="s">
        <v>983</v>
      </c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0" t="s">
        <v>1005</v>
      </c>
      <c r="B867" s="11" t="s">
        <v>882</v>
      </c>
      <c r="C867" s="12" t="str">
        <f t="shared" si="132"/>
        <v>Ulta</v>
      </c>
      <c r="D867" s="10" t="s">
        <v>978</v>
      </c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0" t="s">
        <v>1006</v>
      </c>
      <c r="B868" s="11" t="s">
        <v>882</v>
      </c>
      <c r="C868" s="12" t="str">
        <f t="shared" si="132"/>
        <v>Ulta</v>
      </c>
      <c r="D868" s="10" t="s">
        <v>973</v>
      </c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0" t="s">
        <v>1007</v>
      </c>
      <c r="B869" s="11" t="s">
        <v>205</v>
      </c>
      <c r="C869" s="12" t="str">
        <f t="shared" si="132"/>
        <v>Ulta</v>
      </c>
      <c r="D869" s="10" t="s">
        <v>973</v>
      </c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0" t="s">
        <v>1007</v>
      </c>
      <c r="B870" s="11" t="s">
        <v>205</v>
      </c>
      <c r="C870" s="12" t="str">
        <f t="shared" si="132"/>
        <v>Ulta</v>
      </c>
      <c r="D870" s="10" t="s">
        <v>978</v>
      </c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0" t="s">
        <v>1008</v>
      </c>
      <c r="B871" s="11" t="s">
        <v>54</v>
      </c>
      <c r="C871" s="12" t="str">
        <f t="shared" si="132"/>
        <v>Ulta</v>
      </c>
      <c r="D871" s="10" t="s">
        <v>973</v>
      </c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0" t="s">
        <v>1009</v>
      </c>
      <c r="B872" s="11" t="s">
        <v>54</v>
      </c>
      <c r="C872" s="12" t="str">
        <f t="shared" si="132"/>
        <v>Ulta</v>
      </c>
      <c r="D872" s="10" t="s">
        <v>973</v>
      </c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0" t="s">
        <v>1010</v>
      </c>
      <c r="B873" s="11" t="s">
        <v>54</v>
      </c>
      <c r="C873" s="12" t="str">
        <f t="shared" si="132"/>
        <v>Ulta</v>
      </c>
      <c r="D873" s="10" t="s">
        <v>973</v>
      </c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0" t="s">
        <v>1011</v>
      </c>
      <c r="B874" s="11" t="s">
        <v>975</v>
      </c>
      <c r="C874" s="12" t="str">
        <f t="shared" si="132"/>
        <v>Ulta</v>
      </c>
      <c r="D874" s="10" t="s">
        <v>1012</v>
      </c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0" t="s">
        <v>1013</v>
      </c>
      <c r="B875" s="11" t="s">
        <v>54</v>
      </c>
      <c r="C875" s="12" t="str">
        <f t="shared" si="132"/>
        <v>Ulta</v>
      </c>
      <c r="D875" s="10" t="s">
        <v>973</v>
      </c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0" t="s">
        <v>1014</v>
      </c>
      <c r="B876" s="11">
        <v>25.0</v>
      </c>
      <c r="C876" s="12" t="str">
        <f t="shared" si="132"/>
        <v>Ulta</v>
      </c>
      <c r="D876" s="10" t="s">
        <v>973</v>
      </c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0" t="s">
        <v>1015</v>
      </c>
      <c r="B877" s="11">
        <v>25.0</v>
      </c>
      <c r="C877" s="12" t="str">
        <f t="shared" si="132"/>
        <v>Ulta</v>
      </c>
      <c r="D877" s="10" t="s">
        <v>973</v>
      </c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0" t="s">
        <v>1016</v>
      </c>
      <c r="B878" s="11" t="s">
        <v>54</v>
      </c>
      <c r="C878" s="12" t="str">
        <f t="shared" si="132"/>
        <v>Ulta</v>
      </c>
      <c r="D878" s="10" t="s">
        <v>973</v>
      </c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0" t="s">
        <v>1017</v>
      </c>
      <c r="B879" s="11">
        <v>25.0</v>
      </c>
      <c r="C879" s="12" t="str">
        <f t="shared" si="132"/>
        <v>Ulta</v>
      </c>
      <c r="D879" s="10" t="s">
        <v>973</v>
      </c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0" t="s">
        <v>1018</v>
      </c>
      <c r="B880" s="11">
        <v>25.0</v>
      </c>
      <c r="C880" s="12" t="str">
        <f t="shared" si="132"/>
        <v>Ulta</v>
      </c>
      <c r="D880" s="10" t="s">
        <v>973</v>
      </c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0" t="s">
        <v>1019</v>
      </c>
      <c r="B881" s="11" t="s">
        <v>205</v>
      </c>
      <c r="C881" s="12" t="str">
        <f t="shared" si="132"/>
        <v>Ulta</v>
      </c>
      <c r="D881" s="10" t="s">
        <v>973</v>
      </c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0" t="s">
        <v>1019</v>
      </c>
      <c r="B882" s="11" t="s">
        <v>205</v>
      </c>
      <c r="C882" s="12" t="str">
        <f t="shared" si="132"/>
        <v>Ulta</v>
      </c>
      <c r="D882" s="10" t="s">
        <v>978</v>
      </c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0" t="s">
        <v>1020</v>
      </c>
      <c r="B883" s="11" t="s">
        <v>54</v>
      </c>
      <c r="C883" s="12" t="str">
        <f t="shared" si="132"/>
        <v>Ulta</v>
      </c>
      <c r="D883" s="10" t="s">
        <v>973</v>
      </c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0" t="s">
        <v>1021</v>
      </c>
      <c r="B884" s="11" t="s">
        <v>54</v>
      </c>
      <c r="C884" s="12" t="str">
        <f t="shared" si="132"/>
        <v>Ulta</v>
      </c>
      <c r="D884" s="10" t="s">
        <v>973</v>
      </c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0" t="s">
        <v>1022</v>
      </c>
      <c r="B885" s="11" t="s">
        <v>54</v>
      </c>
      <c r="C885" s="12" t="str">
        <f t="shared" si="132"/>
        <v>Ulta</v>
      </c>
      <c r="D885" s="10" t="s">
        <v>973</v>
      </c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0" t="s">
        <v>1023</v>
      </c>
      <c r="B886" s="11" t="s">
        <v>214</v>
      </c>
      <c r="C886" s="12" t="str">
        <f>HYPERLINK("https://shopstyle.it/l/ch41Y","Kohl's")</f>
        <v>Kohl's</v>
      </c>
      <c r="D886" s="14" t="s">
        <v>55</v>
      </c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0" t="s">
        <v>1024</v>
      </c>
      <c r="B887" s="11" t="s">
        <v>788</v>
      </c>
      <c r="C887" s="12" t="str">
        <f t="shared" ref="C887:C895" si="133">HYPERLINK("https://shopstyle.it/l/ch48w","Ulta")</f>
        <v>Ulta</v>
      </c>
      <c r="D887" s="10" t="s">
        <v>1025</v>
      </c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0" t="s">
        <v>1026</v>
      </c>
      <c r="B888" s="11">
        <v>25.0</v>
      </c>
      <c r="C888" s="12" t="str">
        <f t="shared" si="133"/>
        <v>Ulta</v>
      </c>
      <c r="D888" s="10" t="s">
        <v>973</v>
      </c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0" t="s">
        <v>1027</v>
      </c>
      <c r="B889" s="11" t="s">
        <v>54</v>
      </c>
      <c r="C889" s="12" t="str">
        <f t="shared" si="133"/>
        <v>Ulta</v>
      </c>
      <c r="D889" s="10" t="s">
        <v>978</v>
      </c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0" t="s">
        <v>1028</v>
      </c>
      <c r="B890" s="11" t="s">
        <v>205</v>
      </c>
      <c r="C890" s="12" t="str">
        <f t="shared" si="133"/>
        <v>Ulta</v>
      </c>
      <c r="D890" s="10" t="s">
        <v>983</v>
      </c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0" t="s">
        <v>1029</v>
      </c>
      <c r="B891" s="11">
        <v>25.0</v>
      </c>
      <c r="C891" s="12" t="str">
        <f t="shared" si="133"/>
        <v>Ulta</v>
      </c>
      <c r="D891" s="10" t="s">
        <v>973</v>
      </c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0" t="s">
        <v>1030</v>
      </c>
      <c r="B892" s="11">
        <v>25.0</v>
      </c>
      <c r="C892" s="12" t="str">
        <f t="shared" si="133"/>
        <v>Ulta</v>
      </c>
      <c r="D892" s="10" t="s">
        <v>973</v>
      </c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0" t="s">
        <v>1031</v>
      </c>
      <c r="B893" s="11" t="s">
        <v>975</v>
      </c>
      <c r="C893" s="12" t="str">
        <f t="shared" si="133"/>
        <v>Ulta</v>
      </c>
      <c r="D893" s="10" t="s">
        <v>976</v>
      </c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0" t="s">
        <v>1032</v>
      </c>
      <c r="B894" s="11" t="s">
        <v>54</v>
      </c>
      <c r="C894" s="12" t="str">
        <f t="shared" si="133"/>
        <v>Ulta</v>
      </c>
      <c r="D894" s="10" t="s">
        <v>973</v>
      </c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0" t="s">
        <v>1033</v>
      </c>
      <c r="B895" s="11" t="s">
        <v>54</v>
      </c>
      <c r="C895" s="12" t="str">
        <f t="shared" si="133"/>
        <v>Ulta</v>
      </c>
      <c r="D895" s="10" t="s">
        <v>973</v>
      </c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0"/>
      <c r="B896" s="7"/>
      <c r="C896" s="10"/>
      <c r="D896" s="10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8" t="s">
        <v>1034</v>
      </c>
      <c r="B897" s="7"/>
      <c r="C897" s="10"/>
      <c r="D897" s="10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0" t="s">
        <v>1035</v>
      </c>
      <c r="B898" s="11" t="s">
        <v>58</v>
      </c>
      <c r="C898" s="12" t="str">
        <f t="shared" ref="C898:C900" si="134">HYPERLINK("https://shopstyle.it/l/ch41b","Target")</f>
        <v>Target</v>
      </c>
      <c r="D898" s="10" t="s">
        <v>9</v>
      </c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0" t="s">
        <v>1036</v>
      </c>
      <c r="B899" s="11" t="s">
        <v>1037</v>
      </c>
      <c r="C899" s="12" t="str">
        <f t="shared" si="134"/>
        <v>Target</v>
      </c>
      <c r="D899" s="10" t="s">
        <v>9</v>
      </c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0" t="s">
        <v>1038</v>
      </c>
      <c r="B900" s="11" t="s">
        <v>1039</v>
      </c>
      <c r="C900" s="12" t="str">
        <f t="shared" si="134"/>
        <v>Target</v>
      </c>
      <c r="D900" s="10" t="s">
        <v>9</v>
      </c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0"/>
      <c r="B901" s="7"/>
      <c r="C901" s="10"/>
      <c r="D901" s="10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8" t="s">
        <v>1040</v>
      </c>
      <c r="B902" s="7"/>
      <c r="C902" s="10"/>
      <c r="D902" s="10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0" t="s">
        <v>1041</v>
      </c>
      <c r="B903" s="11">
        <v>29.99</v>
      </c>
      <c r="C903" s="12" t="str">
        <f t="shared" ref="C903:C905" si="135">HYPERLINK("https://shopstyle.it/l/ch41b","Target")</f>
        <v>Target</v>
      </c>
      <c r="D903" s="10" t="s">
        <v>9</v>
      </c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0" t="s">
        <v>1042</v>
      </c>
      <c r="B904" s="11">
        <v>19.99</v>
      </c>
      <c r="C904" s="12" t="str">
        <f t="shared" si="135"/>
        <v>Target</v>
      </c>
      <c r="D904" s="10" t="s">
        <v>9</v>
      </c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0" t="s">
        <v>1043</v>
      </c>
      <c r="B905" s="11" t="s">
        <v>58</v>
      </c>
      <c r="C905" s="12" t="str">
        <f t="shared" si="135"/>
        <v>Target</v>
      </c>
      <c r="D905" s="10" t="s">
        <v>9</v>
      </c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0" t="s">
        <v>1044</v>
      </c>
      <c r="B906" s="11">
        <v>12.0</v>
      </c>
      <c r="C906" s="12" t="str">
        <f>HYPERLINK("https://go.magik.ly/ml/rtk9/","Walmart")</f>
        <v>Walmart</v>
      </c>
      <c r="D906" s="10" t="s">
        <v>200</v>
      </c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0" t="s">
        <v>1045</v>
      </c>
      <c r="B907" s="11" t="s">
        <v>205</v>
      </c>
      <c r="C907" s="12" t="str">
        <f>HYPERLINK("https://shopstyle.it/l/ch41Y","Kohl's")</f>
        <v>Kohl's</v>
      </c>
      <c r="D907" s="14" t="s">
        <v>55</v>
      </c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0" t="s">
        <v>1046</v>
      </c>
      <c r="B908" s="11" t="s">
        <v>205</v>
      </c>
      <c r="C908" s="12" t="str">
        <f t="shared" ref="C908:C909" si="136">HYPERLINK("https://shopstyle.it/l/ch41b","Target")</f>
        <v>Target</v>
      </c>
      <c r="D908" s="10" t="s">
        <v>9</v>
      </c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0" t="s">
        <v>1047</v>
      </c>
      <c r="B909" s="11" t="s">
        <v>1048</v>
      </c>
      <c r="C909" s="12" t="str">
        <f t="shared" si="136"/>
        <v>Target</v>
      </c>
      <c r="D909" s="10" t="s">
        <v>9</v>
      </c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0" t="s">
        <v>1049</v>
      </c>
      <c r="B910" s="11">
        <v>4.99</v>
      </c>
      <c r="C910" s="12" t="str">
        <f t="shared" ref="C910:C912" si="137">HYPERLINK("https://shopstyle.it/l/ch41Y","Kohl's")</f>
        <v>Kohl's</v>
      </c>
      <c r="D910" s="14" t="s">
        <v>226</v>
      </c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0" t="s">
        <v>1050</v>
      </c>
      <c r="B911" s="11" t="s">
        <v>205</v>
      </c>
      <c r="C911" s="12" t="str">
        <f t="shared" si="137"/>
        <v>Kohl's</v>
      </c>
      <c r="D911" s="14" t="s">
        <v>55</v>
      </c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0" t="s">
        <v>1051</v>
      </c>
      <c r="B912" s="11" t="s">
        <v>205</v>
      </c>
      <c r="C912" s="12" t="str">
        <f t="shared" si="137"/>
        <v>Kohl's</v>
      </c>
      <c r="D912" s="14" t="s">
        <v>55</v>
      </c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0" t="s">
        <v>1052</v>
      </c>
      <c r="B913" s="11" t="s">
        <v>205</v>
      </c>
      <c r="C913" s="12" t="str">
        <f>HYPERLINK("https://shopstyle.it/l/ch41b","Target")</f>
        <v>Target</v>
      </c>
      <c r="D913" s="10" t="s">
        <v>1053</v>
      </c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0" t="s">
        <v>1054</v>
      </c>
      <c r="B914" s="11">
        <v>299.99</v>
      </c>
      <c r="C914" s="12" t="str">
        <f>HYPERLINK("https://go.magik.ly/ml/rtk9/","Walmart")</f>
        <v>Walmart</v>
      </c>
      <c r="D914" s="10" t="s">
        <v>200</v>
      </c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0" t="s">
        <v>1055</v>
      </c>
      <c r="B915" s="11" t="s">
        <v>214</v>
      </c>
      <c r="C915" s="12" t="str">
        <f>HYPERLINK("https://shopstyle.it/l/ch41Y","Kohl's")</f>
        <v>Kohl's</v>
      </c>
      <c r="D915" s="14" t="s">
        <v>226</v>
      </c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0" t="s">
        <v>1056</v>
      </c>
      <c r="B916" s="11">
        <v>9.99</v>
      </c>
      <c r="C916" s="12" t="str">
        <f t="shared" ref="C916:C917" si="138">HYPERLINK("https://shopstyle.it/l/ch41b","Target")</f>
        <v>Target</v>
      </c>
      <c r="D916" s="10" t="s">
        <v>9</v>
      </c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0" t="s">
        <v>1057</v>
      </c>
      <c r="B917" s="11" t="s">
        <v>205</v>
      </c>
      <c r="C917" s="12" t="str">
        <f t="shared" si="138"/>
        <v>Target</v>
      </c>
      <c r="D917" s="10" t="s">
        <v>9</v>
      </c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0" t="s">
        <v>1058</v>
      </c>
      <c r="B918" s="11" t="s">
        <v>205</v>
      </c>
      <c r="C918" s="12" t="str">
        <f>HYPERLINK("https://shopstyle.it/l/ch41Y","Kohl's")</f>
        <v>Kohl's</v>
      </c>
      <c r="D918" s="14" t="s">
        <v>55</v>
      </c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0" t="s">
        <v>1059</v>
      </c>
      <c r="B919" s="11">
        <v>29.99</v>
      </c>
      <c r="C919" s="12" t="str">
        <f>HYPERLINK("https://shopstyle.it/l/ch41b","Target")</f>
        <v>Target</v>
      </c>
      <c r="D919" s="10" t="s">
        <v>9</v>
      </c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0" t="s">
        <v>1060</v>
      </c>
      <c r="B920" s="11" t="s">
        <v>54</v>
      </c>
      <c r="C920" s="12" t="str">
        <f t="shared" ref="C920:C921" si="139">HYPERLINK("https://shopstyle.it/l/ch41Y","Kohl's")</f>
        <v>Kohl's</v>
      </c>
      <c r="D920" s="14" t="s">
        <v>226</v>
      </c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0" t="s">
        <v>1060</v>
      </c>
      <c r="B921" s="11" t="s">
        <v>205</v>
      </c>
      <c r="C921" s="12" t="str">
        <f t="shared" si="139"/>
        <v>Kohl's</v>
      </c>
      <c r="D921" s="14" t="s">
        <v>55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0" t="s">
        <v>1061</v>
      </c>
      <c r="B922" s="11">
        <v>59.99</v>
      </c>
      <c r="C922" s="12" t="str">
        <f t="shared" ref="C922:C923" si="140">HYPERLINK("https://shopstyle.it/l/ch41b","Target")</f>
        <v>Target</v>
      </c>
      <c r="D922" s="10" t="s">
        <v>9</v>
      </c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0" t="s">
        <v>1062</v>
      </c>
      <c r="B923" s="11" t="s">
        <v>58</v>
      </c>
      <c r="C923" s="12" t="str">
        <f t="shared" si="140"/>
        <v>Target</v>
      </c>
      <c r="D923" s="10" t="s">
        <v>9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0" t="s">
        <v>1063</v>
      </c>
      <c r="B924" s="11">
        <v>25.0</v>
      </c>
      <c r="C924" s="12" t="str">
        <f>HYPERLINK("https://go.magik.ly/ml/rtk9/","Walmart")</f>
        <v>Walmart</v>
      </c>
      <c r="D924" s="10" t="s">
        <v>200</v>
      </c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0" t="s">
        <v>1064</v>
      </c>
      <c r="B925" s="11">
        <v>34.99</v>
      </c>
      <c r="C925" s="12" t="str">
        <f t="shared" ref="C925:C926" si="141">HYPERLINK("https://shopstyle.it/l/ch41b","Target")</f>
        <v>Target</v>
      </c>
      <c r="D925" s="10" t="s">
        <v>9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0" t="s">
        <v>1065</v>
      </c>
      <c r="B926" s="11">
        <v>29.99</v>
      </c>
      <c r="C926" s="12" t="str">
        <f t="shared" si="141"/>
        <v>Target</v>
      </c>
      <c r="D926" s="10" t="s">
        <v>9</v>
      </c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0" t="s">
        <v>1066</v>
      </c>
      <c r="B927" s="11">
        <v>7.0</v>
      </c>
      <c r="C927" s="12" t="str">
        <f>HYPERLINK("https://go.magik.ly/ml/rtk9/","Walmart")</f>
        <v>Walmart</v>
      </c>
      <c r="D927" s="10" t="s">
        <v>200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0" t="s">
        <v>1067</v>
      </c>
      <c r="B928" s="11" t="s">
        <v>205</v>
      </c>
      <c r="C928" s="12" t="str">
        <f t="shared" ref="C928:C929" si="142">HYPERLINK("https://shopstyle.it/l/ch41Y","Kohl's")</f>
        <v>Kohl's</v>
      </c>
      <c r="D928" s="14" t="s">
        <v>55</v>
      </c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0" t="s">
        <v>1068</v>
      </c>
      <c r="B929" s="11" t="s">
        <v>214</v>
      </c>
      <c r="C929" s="12" t="str">
        <f t="shared" si="142"/>
        <v>Kohl's</v>
      </c>
      <c r="D929" s="14" t="s">
        <v>226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0" t="s">
        <v>1069</v>
      </c>
      <c r="B930" s="11" t="s">
        <v>205</v>
      </c>
      <c r="C930" s="12" t="str">
        <f>HYPERLINK("https://shopstyle.it/l/ch41b","Target")</f>
        <v>Target</v>
      </c>
      <c r="D930" s="10" t="s">
        <v>9</v>
      </c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0" t="s">
        <v>1070</v>
      </c>
      <c r="B931" s="11" t="s">
        <v>205</v>
      </c>
      <c r="C931" s="12" t="str">
        <f>HYPERLINK("https://shopstyle.it/l/ch41Y","Kohl's")</f>
        <v>Kohl's</v>
      </c>
      <c r="D931" s="14" t="s">
        <v>55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0" t="s">
        <v>1071</v>
      </c>
      <c r="B932" s="11">
        <v>22.99</v>
      </c>
      <c r="C932" s="12" t="str">
        <f>HYPERLINK("https://shopstyle.it/l/ch41b","Target")</f>
        <v>Target</v>
      </c>
      <c r="D932" s="10" t="s">
        <v>9</v>
      </c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0" t="s">
        <v>1072</v>
      </c>
      <c r="B933" s="11">
        <v>69.99</v>
      </c>
      <c r="C933" s="12" t="str">
        <f t="shared" ref="C933:C937" si="143">HYPERLINK("https://shopstyle.it/l/ch41Y","Kohl's")</f>
        <v>Kohl's</v>
      </c>
      <c r="D933" s="14" t="s">
        <v>55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0" t="s">
        <v>1073</v>
      </c>
      <c r="B934" s="11">
        <v>99.99</v>
      </c>
      <c r="C934" s="12" t="str">
        <f t="shared" si="143"/>
        <v>Kohl's</v>
      </c>
      <c r="D934" s="14" t="s">
        <v>55</v>
      </c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0" t="s">
        <v>1074</v>
      </c>
      <c r="B935" s="11" t="s">
        <v>214</v>
      </c>
      <c r="C935" s="12" t="str">
        <f t="shared" si="143"/>
        <v>Kohl's</v>
      </c>
      <c r="D935" s="14" t="s">
        <v>226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0" t="s">
        <v>1074</v>
      </c>
      <c r="B936" s="11" t="s">
        <v>214</v>
      </c>
      <c r="C936" s="12" t="str">
        <f t="shared" si="143"/>
        <v>Kohl's</v>
      </c>
      <c r="D936" s="14" t="s">
        <v>55</v>
      </c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0" t="s">
        <v>1075</v>
      </c>
      <c r="B937" s="11">
        <v>59.99</v>
      </c>
      <c r="C937" s="12" t="str">
        <f t="shared" si="143"/>
        <v>Kohl's</v>
      </c>
      <c r="D937" s="14" t="s">
        <v>226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0" t="s">
        <v>1076</v>
      </c>
      <c r="B938" s="11" t="s">
        <v>54</v>
      </c>
      <c r="C938" s="12" t="str">
        <f>HYPERLINK("https://shopstyle.it/l/ch41b","Target")</f>
        <v>Target</v>
      </c>
      <c r="D938" s="10" t="s">
        <v>9</v>
      </c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</sheetData>
  <drawing r:id="rId1"/>
</worksheet>
</file>